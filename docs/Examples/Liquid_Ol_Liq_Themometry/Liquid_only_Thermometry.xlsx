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Packages_Outside_Box\Thermobar_outsideBox\Thermobar\docs\Examples\Liquid_Ol_Liq_Themometry\"/>
    </mc:Choice>
  </mc:AlternateContent>
  <xr:revisionPtr revIDLastSave="0" documentId="13_ncr:1_{80C6A9F0-F398-48F0-8AB7-7D76EA6A5556}" xr6:coauthVersionLast="47" xr6:coauthVersionMax="47" xr10:uidLastSave="{00000000-0000-0000-0000-000000000000}"/>
  <bookViews>
    <workbookView xWindow="-110" yWindow="-110" windowWidth="19420" windowHeight="10300" activeTab="2" xr2:uid="{81A2371C-1752-7741-8A48-BEC2C378A224}"/>
  </bookViews>
  <sheets>
    <sheet name="Liquid_only" sheetId="4" r:id="rId1"/>
    <sheet name="Ol-Liq" sheetId="7" r:id="rId2"/>
    <sheet name="Liq_Ol_withNi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32" i="8" l="1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Z7" i="8"/>
  <c r="P7" i="8"/>
  <c r="Z6" i="8"/>
  <c r="P6" i="8"/>
  <c r="Z5" i="8"/>
  <c r="P5" i="8"/>
  <c r="Z4" i="8"/>
  <c r="P4" i="8"/>
  <c r="Z3" i="8"/>
  <c r="P3" i="8"/>
  <c r="Z2" i="8"/>
  <c r="P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tc={4D3083EC-359D-40DF-893E-F6E527AFA42D}</author>
  </authors>
  <commentList>
    <comment ref="A2" authorId="0" shapeId="0" xr:uid="{4D3083EC-359D-40DF-893E-F6E527AFA42D}">
      <text>
        <t>[Threaded comment]
Your version of Excel allows you to read this threaded comment; however, any edits to it will get removed if the file is opened in a newer version of Excel. Learn more: https://go.microsoft.com/fwlink/?linkid=870924
Comment:
    Grove et al. 2003. Is in training dataset.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tc={6CB46DFF-1FAE-4263-9901-7EFB2F4E92DD}</author>
  </authors>
  <commentList>
    <comment ref="A2" authorId="0" shapeId="0" xr:uid="{6CB46DFF-1FAE-4263-9901-7EFB2F4E92DD}">
      <text>
        <t>[Threaded comment]
Your version of Excel allows you to read this threaded comment; however, any edits to it will get removed if the file is opened in a newer version of Excel. Learn more: https://go.microsoft.com/fwlink/?linkid=870924
Comment:
    Grove et al. 2003. Is in training dataset.</t>
      </text>
    </comment>
  </commentList>
</comments>
</file>

<file path=xl/sharedStrings.xml><?xml version="1.0" encoding="utf-8"?>
<sst xmlns="http://schemas.openxmlformats.org/spreadsheetml/2006/main" count="155" uniqueCount="83">
  <si>
    <t>Sample_ID</t>
  </si>
  <si>
    <t>SiO2_Liq</t>
  </si>
  <si>
    <t>TiO2_Liq</t>
  </si>
  <si>
    <t>Al2O3_Liq</t>
  </si>
  <si>
    <t>FeOt_Liq</t>
  </si>
  <si>
    <t>MnO_Liq</t>
  </si>
  <si>
    <t>MgO_Liq</t>
  </si>
  <si>
    <t>CaO_Liq</t>
  </si>
  <si>
    <t>Na2O_Liq</t>
  </si>
  <si>
    <t>K2O_Liq</t>
  </si>
  <si>
    <t>Cr2O3_Liq</t>
  </si>
  <si>
    <t>P2O5_Liq</t>
  </si>
  <si>
    <t>H2O_Liq</t>
  </si>
  <si>
    <t>SiO2_Ol</t>
  </si>
  <si>
    <t>TiO2_Ol</t>
  </si>
  <si>
    <t>Al2O3_Ol</t>
  </si>
  <si>
    <t>FeOt_Ol</t>
  </si>
  <si>
    <t>MnO_Ol</t>
  </si>
  <si>
    <t>MgO_Ol</t>
  </si>
  <si>
    <t>CaO_Ol</t>
  </si>
  <si>
    <t>_Ol</t>
  </si>
  <si>
    <t>K2O_Ol</t>
  </si>
  <si>
    <t>Cr2O3_Ol</t>
  </si>
  <si>
    <t>P2O5_Ol</t>
  </si>
  <si>
    <t>P_kbar</t>
  </si>
  <si>
    <t>Liquid 1</t>
  </si>
  <si>
    <t>Liquid 2</t>
  </si>
  <si>
    <t>Liquid 3</t>
  </si>
  <si>
    <t>Liquid 4</t>
  </si>
  <si>
    <t>Liquid 5</t>
  </si>
  <si>
    <t>Liquid 6</t>
  </si>
  <si>
    <t>Liquid 7</t>
  </si>
  <si>
    <t>Liquid 8</t>
  </si>
  <si>
    <t>Liquid 9</t>
  </si>
  <si>
    <t>Liquid 10</t>
  </si>
  <si>
    <t>Temperature_C</t>
  </si>
  <si>
    <t>Latitude</t>
  </si>
  <si>
    <t>You only need these columsn if you want to do olivine-liquid</t>
  </si>
  <si>
    <t>You can add any other columns you may want, like latitude</t>
  </si>
  <si>
    <t>Fe3Fet_Liq</t>
  </si>
  <si>
    <t>sample#</t>
  </si>
  <si>
    <t>Cr2O3</t>
  </si>
  <si>
    <t>CoO</t>
  </si>
  <si>
    <t>Total</t>
  </si>
  <si>
    <t>Ni(ppm)</t>
  </si>
  <si>
    <t>NiO_Liq</t>
  </si>
  <si>
    <t>Sample</t>
  </si>
  <si>
    <t>NiO_Ol</t>
  </si>
  <si>
    <t>22CLDB140</t>
  </si>
  <si>
    <t>olvcore1</t>
  </si>
  <si>
    <t>olvcore9</t>
  </si>
  <si>
    <t>olvccore10</t>
  </si>
  <si>
    <t>20CLDB001a</t>
  </si>
  <si>
    <t>olvcore8</t>
  </si>
  <si>
    <t>olvcore6</t>
  </si>
  <si>
    <t>olvcore4</t>
  </si>
  <si>
    <t>CLDR013</t>
  </si>
  <si>
    <t>olvcore3_1</t>
  </si>
  <si>
    <t>olvcore10_3</t>
  </si>
  <si>
    <t>olvcore9_3</t>
  </si>
  <si>
    <t>20CLDB013</t>
  </si>
  <si>
    <t>olvcore7_3</t>
  </si>
  <si>
    <t>olvxeno1_4</t>
  </si>
  <si>
    <t>olvcore6_5</t>
  </si>
  <si>
    <t>21CLDB058</t>
  </si>
  <si>
    <t>olvcore7_1</t>
  </si>
  <si>
    <t>olvcore2_1</t>
  </si>
  <si>
    <t>22CLDB108</t>
  </si>
  <si>
    <t>olvcore5_ave</t>
  </si>
  <si>
    <t>olvtr5_9</t>
  </si>
  <si>
    <t>olvcore3_ave</t>
  </si>
  <si>
    <t>20CLDB009</t>
  </si>
  <si>
    <t>olvcore6_1</t>
  </si>
  <si>
    <t>olvcore8_ave</t>
  </si>
  <si>
    <t>20CLDB014</t>
  </si>
  <si>
    <t>olvcore4_ave</t>
  </si>
  <si>
    <t>olvxen6_ave</t>
  </si>
  <si>
    <t>20CLDB019</t>
  </si>
  <si>
    <t>olvcore1_ave</t>
  </si>
  <si>
    <t>olvcore11_ave</t>
  </si>
  <si>
    <t>21CLDB047</t>
  </si>
  <si>
    <t>21CLDB084</t>
  </si>
  <si>
    <t>olvcore2_ave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</si>
</sst>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name val="Verdana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96C6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11" fontId="0" fillId="0" borderId="0" xfId="0" applyNumberFormat="1"/>
    <xf numFmtId="0" fontId="0" fillId="2" borderId="0" xfId="0" applyFill="1"/>
    <xf numFmtId="0" fontId="2" fillId="2" borderId="0" xfId="0" applyFont="1" applyFill="1"/>
    <xf numFmtId="0" fontId="7" fillId="3" borderId="0" xfId="0" applyFont="1" applyFill="1"/>
    <xf numFmtId="0" fontId="5" fillId="0" borderId="0" xfId="0" applyFont="1" applyAlignment="1">
      <alignment wrapText="1"/>
    </xf>
    <xf numFmtId="164" fontId="1" fillId="0" borderId="0" xfId="0" applyNumberFormat="1" applyFont="1" applyAlignment="1">
      <alignment horizontal="center" wrapText="1"/>
    </xf>
    <xf numFmtId="2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6" fillId="3" borderId="1" xfId="0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0" fontId="0" fillId="4" borderId="0" xfId="0" applyFill="1"/>
    <xf numFmtId="11" fontId="0" fillId="4" borderId="0" xfId="0" applyNumberFormat="1" applyFill="1"/>
    <xf numFmtId="0" fontId="8" fillId="4" borderId="0" xfId="0" applyFont="1" applyFill="1" applyAlignment="1">
      <alignment horizontal="left" vertical="top" wrapText="1"/>
    </xf>
    <xf numFmtId="2" fontId="2" fillId="5" borderId="2" xfId="0" applyNumberFormat="1" applyFont="1" applyFill="1" applyBorder="1" applyAlignment="1">
      <alignment horizontal="center" vertical="center"/>
    </xf>
    <xf numFmtId="2" fontId="2" fillId="5" borderId="3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019110B1-3D3F-BF49-8280-B8B441B293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.E. Wieser" id="{0CF9EF8D-30E6-4392-8C1F-94D65FB0C757}" userId="P.E. Wieser" providerId="Non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0-12-26T14:31:12.30" personId="{0CF9EF8D-30E6-4392-8C1F-94D65FB0C757}" id="{4D3083EC-359D-40DF-893E-F6E527AFA42D}">
    <text>Grove et al. 2003. Is in training dataset.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dT="2020-12-26T14:31:12.30" personId="{0CF9EF8D-30E6-4392-8C1F-94D65FB0C757}" id="{6CB46DFF-1FAE-4263-9901-7EFB2F4E92DD}">
    <text>Grove et al. 2003. Is in training dataset.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41BA4-AD6A-476B-89F9-77C94F1FACB0}">
  <dimension ref="A1:R12"/>
  <sheetViews>
    <sheetView topLeftCell="B1" zoomScale="80" zoomScaleNormal="80" workbookViewId="0">
      <selection activeCell="I2" sqref="I2"/>
    </sheetView>
  </sheetViews>
  <sheetFormatPr defaultColWidth="11.1640625" defaultRowHeight="15.5" x14ac:dyDescent="0.35"/>
  <cols>
    <col min="1" max="1" width="49.33203125" customWidth="1"/>
    <col min="17" max="17" width="31.6640625" style="11" customWidth="1"/>
    <col min="18" max="18" width="11.1640625" customWidth="1"/>
  </cols>
  <sheetData>
    <row r="1" spans="1:18" s="10" customFormat="1" ht="57" customHeight="1" x14ac:dyDescent="0.35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39</v>
      </c>
      <c r="O1" s="8" t="s">
        <v>24</v>
      </c>
      <c r="P1" s="8" t="s">
        <v>35</v>
      </c>
      <c r="Q1" s="13" t="s">
        <v>38</v>
      </c>
      <c r="R1" s="8" t="s">
        <v>36</v>
      </c>
    </row>
    <row r="2" spans="1:18" s="3" customFormat="1" x14ac:dyDescent="0.35">
      <c r="A2" s="2" t="s">
        <v>25</v>
      </c>
      <c r="B2" s="2">
        <v>57.023601531982401</v>
      </c>
      <c r="C2" s="2">
        <v>0.62310600280761697</v>
      </c>
      <c r="D2" s="2">
        <v>16.332899093627901</v>
      </c>
      <c r="E2" s="2">
        <v>4.3617401123046902</v>
      </c>
      <c r="F2" s="2">
        <v>0.103850997984409</v>
      </c>
      <c r="G2" s="2">
        <v>4.1918001174926802</v>
      </c>
      <c r="H2" s="2">
        <v>6.9485797882080096</v>
      </c>
      <c r="I2" s="2">
        <v>3.5970199108123802</v>
      </c>
      <c r="J2" s="2">
        <v>0.896894991397858</v>
      </c>
      <c r="K2" s="2">
        <v>0</v>
      </c>
      <c r="L2" s="2">
        <v>0.226584002375603</v>
      </c>
      <c r="M2" s="2">
        <v>5.5900001525878897</v>
      </c>
      <c r="N2" s="2">
        <v>0.2</v>
      </c>
      <c r="O2" s="2">
        <v>2</v>
      </c>
      <c r="P2" s="2">
        <v>1000</v>
      </c>
      <c r="Q2" s="11"/>
      <c r="R2" s="2">
        <v>32</v>
      </c>
    </row>
    <row r="3" spans="1:18" s="3" customFormat="1" x14ac:dyDescent="0.35">
      <c r="A3" s="2" t="s">
        <v>26</v>
      </c>
      <c r="B3" s="2">
        <v>57.658599853515597</v>
      </c>
      <c r="C3" s="2">
        <v>0.65415000915527299</v>
      </c>
      <c r="D3" s="2">
        <v>17.194799423217798</v>
      </c>
      <c r="E3" s="2">
        <v>3.90620994567871</v>
      </c>
      <c r="F3" s="2">
        <v>8.4104999899864197E-2</v>
      </c>
      <c r="G3" s="2">
        <v>2.8689200878143302</v>
      </c>
      <c r="H3" s="2">
        <v>5.9153800010681197</v>
      </c>
      <c r="I3" s="2">
        <v>3.8594799041747998</v>
      </c>
      <c r="J3" s="2">
        <v>1.01859998703003</v>
      </c>
      <c r="K3" s="2">
        <v>0</v>
      </c>
      <c r="L3" s="2">
        <v>0.21493500471115101</v>
      </c>
      <c r="M3" s="2">
        <v>6.5500001907348597</v>
      </c>
      <c r="N3" s="2">
        <v>0.2</v>
      </c>
      <c r="O3" s="2">
        <v>3</v>
      </c>
      <c r="P3" s="2">
        <v>1050</v>
      </c>
      <c r="Q3" s="11"/>
      <c r="R3" s="2">
        <v>33</v>
      </c>
    </row>
    <row r="4" spans="1:18" s="3" customFormat="1" x14ac:dyDescent="0.35">
      <c r="A4" s="2" t="s">
        <v>27</v>
      </c>
      <c r="B4" s="2">
        <v>60.731201171875</v>
      </c>
      <c r="C4" s="2">
        <v>0.86205399036407504</v>
      </c>
      <c r="D4" s="2">
        <v>17.144199371337901</v>
      </c>
      <c r="E4" s="2">
        <v>4.0778098106384304</v>
      </c>
      <c r="F4" s="2">
        <v>7.7487997710704803E-2</v>
      </c>
      <c r="G4" s="2">
        <v>2.5086700916290301</v>
      </c>
      <c r="H4" s="2">
        <v>5.2207498550415004</v>
      </c>
      <c r="I4" s="2">
        <v>4.4555602073669398</v>
      </c>
      <c r="J4" s="2">
        <v>1.4141600131988501</v>
      </c>
      <c r="K4" s="2">
        <v>0</v>
      </c>
      <c r="L4" s="2">
        <v>0.31963801383972201</v>
      </c>
      <c r="M4" s="2">
        <v>3.1400001049041801</v>
      </c>
      <c r="N4" s="2">
        <v>0.2</v>
      </c>
      <c r="O4" s="2">
        <v>5</v>
      </c>
      <c r="P4" s="2">
        <v>1100</v>
      </c>
      <c r="Q4" s="11"/>
      <c r="R4" s="2">
        <v>34</v>
      </c>
    </row>
    <row r="5" spans="1:18" s="3" customFormat="1" x14ac:dyDescent="0.35">
      <c r="A5" s="2" t="s">
        <v>28</v>
      </c>
      <c r="B5" s="2">
        <v>61.532798767089801</v>
      </c>
      <c r="C5" s="2">
        <v>0.44086000323295599</v>
      </c>
      <c r="D5" s="2">
        <v>16.5088005065918</v>
      </c>
      <c r="E5" s="2">
        <v>3.3299000263214098</v>
      </c>
      <c r="F5" s="2">
        <v>3.7519998848438298E-2</v>
      </c>
      <c r="G5" s="2">
        <v>1.6414999961853001</v>
      </c>
      <c r="H5" s="2">
        <v>4.3429398536682102</v>
      </c>
      <c r="I5" s="2">
        <v>4.4085998535156197</v>
      </c>
      <c r="J5" s="2">
        <v>1.40699994564056</v>
      </c>
      <c r="K5" s="2">
        <v>0</v>
      </c>
      <c r="L5" s="2">
        <v>0.21573999524116499</v>
      </c>
      <c r="M5" s="2">
        <v>6.1999998092651403</v>
      </c>
      <c r="N5" s="2">
        <v>0.2</v>
      </c>
      <c r="O5" s="2">
        <v>5</v>
      </c>
      <c r="P5" s="2">
        <v>1100</v>
      </c>
      <c r="Q5" s="11"/>
      <c r="R5" s="2">
        <v>35</v>
      </c>
    </row>
    <row r="6" spans="1:18" s="3" customFormat="1" x14ac:dyDescent="0.35">
      <c r="A6" s="2" t="s">
        <v>29</v>
      </c>
      <c r="B6" s="2">
        <v>52.969100952148402</v>
      </c>
      <c r="C6" s="2">
        <v>0.80341202020645097</v>
      </c>
      <c r="D6" s="2">
        <v>17.5629997253418</v>
      </c>
      <c r="E6" s="2">
        <v>5.9321699142456099</v>
      </c>
      <c r="F6" s="2">
        <v>0.14947199821472201</v>
      </c>
      <c r="G6" s="2">
        <v>3.7835099697113002</v>
      </c>
      <c r="H6" s="2">
        <v>7.6511001586914098</v>
      </c>
      <c r="I6" s="2">
        <v>3.8021900653839098</v>
      </c>
      <c r="J6" s="2">
        <v>0.551177978515625</v>
      </c>
      <c r="K6" s="2">
        <v>3.7367999553680399E-2</v>
      </c>
      <c r="L6" s="2">
        <v>0.19618199765682201</v>
      </c>
      <c r="M6" s="2">
        <v>6.57999992370606</v>
      </c>
      <c r="N6" s="2">
        <v>0.2</v>
      </c>
      <c r="O6" s="2">
        <v>5</v>
      </c>
      <c r="P6" s="2">
        <v>1100</v>
      </c>
      <c r="Q6" s="11"/>
      <c r="R6" s="2">
        <v>36</v>
      </c>
    </row>
    <row r="7" spans="1:18" s="2" customFormat="1" x14ac:dyDescent="0.35">
      <c r="A7" s="2" t="s">
        <v>30</v>
      </c>
      <c r="B7" s="2">
        <v>54.050201416015597</v>
      </c>
      <c r="C7" s="2">
        <v>0.85734802484512296</v>
      </c>
      <c r="D7" s="2">
        <v>17.333299636840799</v>
      </c>
      <c r="E7" s="2">
        <v>5.6007199287414604</v>
      </c>
      <c r="F7" s="2">
        <v>0.18637999892234799</v>
      </c>
      <c r="G7" s="2">
        <v>3.2709701061248802</v>
      </c>
      <c r="H7" s="2">
        <v>6.8121900558471697</v>
      </c>
      <c r="I7" s="2">
        <v>4.30537986755371</v>
      </c>
      <c r="J7" s="2">
        <v>0.596415996551514</v>
      </c>
      <c r="K7" s="2">
        <v>2.79569998383522E-2</v>
      </c>
      <c r="L7" s="2">
        <v>0.19569900631904599</v>
      </c>
      <c r="M7" s="2">
        <v>6.8099999427795401</v>
      </c>
      <c r="N7" s="2">
        <v>0.2</v>
      </c>
      <c r="O7" s="2">
        <v>5</v>
      </c>
      <c r="P7" s="2">
        <v>1100</v>
      </c>
      <c r="Q7" s="11"/>
      <c r="R7" s="2">
        <v>37</v>
      </c>
    </row>
    <row r="8" spans="1:18" s="2" customFormat="1" x14ac:dyDescent="0.35">
      <c r="A8" s="2" t="s">
        <v>31</v>
      </c>
      <c r="B8" s="2">
        <v>55.656299591064403</v>
      </c>
      <c r="C8" s="2">
        <v>0.89798402786254905</v>
      </c>
      <c r="D8" s="2">
        <v>17.117799758911101</v>
      </c>
      <c r="E8" s="2">
        <v>5.3130698204040501</v>
      </c>
      <c r="F8" s="2">
        <v>0.13095599412918099</v>
      </c>
      <c r="G8" s="2">
        <v>2.6752400398254399</v>
      </c>
      <c r="H8" s="2">
        <v>5.8649601936340297</v>
      </c>
      <c r="I8" s="2">
        <v>4.8640799522399902</v>
      </c>
      <c r="J8" s="2">
        <v>0.70155000686645497</v>
      </c>
      <c r="K8" s="2">
        <v>6.5477997064590496E-2</v>
      </c>
      <c r="L8" s="2">
        <v>0.215141996741295</v>
      </c>
      <c r="M8" s="2">
        <v>6.46000003814697</v>
      </c>
      <c r="N8" s="2">
        <v>0.2</v>
      </c>
      <c r="O8" s="2">
        <v>5</v>
      </c>
      <c r="P8" s="2">
        <v>1100</v>
      </c>
      <c r="Q8" s="11"/>
      <c r="R8" s="2">
        <v>38</v>
      </c>
    </row>
    <row r="9" spans="1:18" s="2" customFormat="1" x14ac:dyDescent="0.35">
      <c r="A9" s="2" t="s">
        <v>32</v>
      </c>
      <c r="B9" s="2">
        <v>49.054698944091797</v>
      </c>
      <c r="C9" s="2">
        <v>0.488831996917725</v>
      </c>
      <c r="D9" s="2">
        <v>14.664999961853001</v>
      </c>
      <c r="E9" s="2">
        <v>5.8316798210143999</v>
      </c>
      <c r="F9" s="2">
        <v>0.120063997805119</v>
      </c>
      <c r="G9" s="2">
        <v>4.2708501815795898</v>
      </c>
      <c r="H9" s="2">
        <v>7.5897598266601598</v>
      </c>
      <c r="I9" s="2">
        <v>1.0377000570297199</v>
      </c>
      <c r="J9" s="2">
        <v>0.24870400130748699</v>
      </c>
      <c r="K9" s="2">
        <v>8.5760001093149203E-3</v>
      </c>
      <c r="L9" s="2">
        <v>0</v>
      </c>
      <c r="M9" s="2">
        <v>14.2399997711182</v>
      </c>
      <c r="N9" s="2">
        <v>0.2</v>
      </c>
      <c r="O9" s="2">
        <v>5</v>
      </c>
      <c r="P9" s="2">
        <v>1100</v>
      </c>
      <c r="Q9" s="11"/>
      <c r="R9" s="2">
        <v>39</v>
      </c>
    </row>
    <row r="10" spans="1:18" s="2" customFormat="1" x14ac:dyDescent="0.35">
      <c r="A10" s="2" t="s">
        <v>33</v>
      </c>
      <c r="B10" s="2">
        <v>50.625099182128899</v>
      </c>
      <c r="C10" s="2">
        <v>0.33407399058342002</v>
      </c>
      <c r="D10" s="2">
        <v>16.875</v>
      </c>
      <c r="E10" s="2">
        <v>5.0196800231933603</v>
      </c>
      <c r="F10" s="2">
        <v>0.119924001395702</v>
      </c>
      <c r="G10" s="2">
        <v>3.16085004806519</v>
      </c>
      <c r="H10" s="2">
        <v>7.0412502288818404</v>
      </c>
      <c r="I10" s="2">
        <v>1.91877996921539</v>
      </c>
      <c r="J10" s="2">
        <v>0.616752028465271</v>
      </c>
      <c r="K10" s="2">
        <v>3.4263998270034797E-2</v>
      </c>
      <c r="L10" s="2">
        <v>0</v>
      </c>
      <c r="M10" s="2">
        <v>14.3400001525879</v>
      </c>
      <c r="N10" s="2">
        <v>0.2</v>
      </c>
      <c r="O10" s="2">
        <v>5</v>
      </c>
      <c r="P10" s="2">
        <v>1100</v>
      </c>
      <c r="Q10" s="11"/>
      <c r="R10" s="2">
        <v>40</v>
      </c>
    </row>
    <row r="11" spans="1:18" s="2" customFormat="1" x14ac:dyDescent="0.35">
      <c r="A11" s="2" t="s">
        <v>34</v>
      </c>
      <c r="B11" s="2">
        <v>51.4033012390137</v>
      </c>
      <c r="C11" s="2">
        <v>0.66387999057769798</v>
      </c>
      <c r="D11" s="2">
        <v>18.019599914550799</v>
      </c>
      <c r="E11" s="2">
        <v>5.9843997955322301</v>
      </c>
      <c r="F11" s="2">
        <v>0.14226000010967299</v>
      </c>
      <c r="G11" s="2">
        <v>5.3489799499511701</v>
      </c>
      <c r="H11" s="2">
        <v>9.7685203552246094</v>
      </c>
      <c r="I11" s="2">
        <v>3.0728199481964098</v>
      </c>
      <c r="J11" s="2">
        <v>0.407811999320984</v>
      </c>
      <c r="K11" s="2">
        <v>9.4839995726942999E-3</v>
      </c>
      <c r="L11" s="2">
        <v>0</v>
      </c>
      <c r="M11" s="2">
        <v>5.1599998474121103</v>
      </c>
      <c r="N11" s="2">
        <v>0.2</v>
      </c>
      <c r="O11" s="2">
        <v>5</v>
      </c>
      <c r="P11" s="2">
        <v>1100</v>
      </c>
      <c r="Q11" s="11"/>
      <c r="R11" s="2">
        <v>41</v>
      </c>
    </row>
    <row r="12" spans="1:18" x14ac:dyDescent="0.35">
      <c r="P12" s="1"/>
      <c r="Q12" s="12"/>
      <c r="R12" s="1"/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FE275-AE04-4DCC-8479-513FB2E844AE}">
  <dimension ref="A1:AC12"/>
  <sheetViews>
    <sheetView topLeftCell="T1" workbookViewId="0">
      <selection activeCell="V4" sqref="V4"/>
    </sheetView>
  </sheetViews>
  <sheetFormatPr defaultColWidth="11.1640625" defaultRowHeight="15.5" x14ac:dyDescent="0.35"/>
  <cols>
    <col min="1" max="1" width="49.33203125" customWidth="1"/>
    <col min="18" max="18" width="31.6640625" style="11" customWidth="1"/>
    <col min="20" max="20" width="49.33203125" customWidth="1"/>
  </cols>
  <sheetData>
    <row r="1" spans="1:29" s="10" customFormat="1" ht="57" customHeight="1" x14ac:dyDescent="0.35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39</v>
      </c>
      <c r="O1" s="8" t="s">
        <v>24</v>
      </c>
      <c r="P1" s="8" t="s">
        <v>35</v>
      </c>
      <c r="Q1" s="8" t="s">
        <v>36</v>
      </c>
      <c r="R1" s="13" t="s">
        <v>37</v>
      </c>
      <c r="S1" s="9" t="s">
        <v>13</v>
      </c>
      <c r="T1" s="9" t="s">
        <v>14</v>
      </c>
      <c r="U1" s="9" t="s">
        <v>15</v>
      </c>
      <c r="V1" s="9" t="s">
        <v>16</v>
      </c>
      <c r="W1" s="9" t="s">
        <v>17</v>
      </c>
      <c r="X1" s="9" t="s">
        <v>18</v>
      </c>
      <c r="Y1" s="9" t="s">
        <v>19</v>
      </c>
      <c r="Z1" s="9" t="s">
        <v>20</v>
      </c>
      <c r="AA1" s="9" t="s">
        <v>21</v>
      </c>
      <c r="AB1" s="9" t="s">
        <v>22</v>
      </c>
      <c r="AC1" s="9" t="s">
        <v>23</v>
      </c>
    </row>
    <row r="2" spans="1:29" s="3" customFormat="1" x14ac:dyDescent="0.35">
      <c r="A2" s="2" t="s">
        <v>25</v>
      </c>
      <c r="B2" s="2">
        <v>57.023601531982401</v>
      </c>
      <c r="C2" s="2">
        <v>0.62310600280761697</v>
      </c>
      <c r="D2" s="2">
        <v>16.332899093627901</v>
      </c>
      <c r="E2" s="2">
        <v>4.3617401123046902</v>
      </c>
      <c r="F2" s="2">
        <v>0.103850997984409</v>
      </c>
      <c r="G2" s="2">
        <v>4.1918001174926802</v>
      </c>
      <c r="H2" s="2">
        <v>6.9485797882080096</v>
      </c>
      <c r="I2" s="2">
        <v>3.5970199108123802</v>
      </c>
      <c r="J2" s="2">
        <v>0.896894991397858</v>
      </c>
      <c r="K2" s="2">
        <v>0</v>
      </c>
      <c r="L2" s="2">
        <v>0.226584002375603</v>
      </c>
      <c r="M2" s="2">
        <v>5.5900001525878897</v>
      </c>
      <c r="N2" s="2">
        <v>0.2</v>
      </c>
      <c r="O2" s="2">
        <v>2</v>
      </c>
      <c r="P2" s="2">
        <v>1000</v>
      </c>
      <c r="Q2" s="2">
        <v>32</v>
      </c>
      <c r="R2" s="11"/>
      <c r="S2" s="4">
        <v>40.5</v>
      </c>
      <c r="T2" s="4">
        <v>0.02</v>
      </c>
      <c r="U2" s="4">
        <v>0.08</v>
      </c>
      <c r="V2" s="4">
        <v>12.4</v>
      </c>
      <c r="W2" s="4">
        <v>0.17</v>
      </c>
      <c r="X2" s="4">
        <v>47.4</v>
      </c>
      <c r="Y2" s="4">
        <v>0.3</v>
      </c>
      <c r="Z2" s="4">
        <v>0</v>
      </c>
      <c r="AA2" s="4">
        <v>0</v>
      </c>
      <c r="AB2" s="4">
        <v>0.03</v>
      </c>
      <c r="AC2" s="4">
        <v>0</v>
      </c>
    </row>
    <row r="3" spans="1:29" s="3" customFormat="1" x14ac:dyDescent="0.35">
      <c r="A3" s="2" t="s">
        <v>26</v>
      </c>
      <c r="B3" s="2">
        <v>57.658599853515597</v>
      </c>
      <c r="C3" s="2">
        <v>0.65415000915527299</v>
      </c>
      <c r="D3" s="2">
        <v>17.194799423217798</v>
      </c>
      <c r="E3" s="2">
        <v>3.90620994567871</v>
      </c>
      <c r="F3" s="2">
        <v>8.4104999899864197E-2</v>
      </c>
      <c r="G3" s="2">
        <v>2.8689200878143302</v>
      </c>
      <c r="H3" s="2">
        <v>5.9153800010681197</v>
      </c>
      <c r="I3" s="2">
        <v>3.8594799041747998</v>
      </c>
      <c r="J3" s="2">
        <v>1.01859998703003</v>
      </c>
      <c r="K3" s="2">
        <v>0</v>
      </c>
      <c r="L3" s="2">
        <v>0.21493500471115101</v>
      </c>
      <c r="M3" s="2">
        <v>6.5500001907348597</v>
      </c>
      <c r="N3" s="2">
        <v>0.2</v>
      </c>
      <c r="O3" s="2">
        <v>3</v>
      </c>
      <c r="P3" s="2">
        <v>1050</v>
      </c>
      <c r="Q3" s="2">
        <v>33</v>
      </c>
      <c r="R3" s="11"/>
      <c r="S3" s="4">
        <v>41.3</v>
      </c>
      <c r="T3" s="4">
        <v>0.03</v>
      </c>
      <c r="U3" s="4">
        <v>0.11</v>
      </c>
      <c r="V3" s="4">
        <v>9.59</v>
      </c>
      <c r="W3" s="4">
        <v>0.14000000000000001</v>
      </c>
      <c r="X3" s="4">
        <v>50.2</v>
      </c>
      <c r="Y3" s="4">
        <v>0.31</v>
      </c>
      <c r="Z3" s="4">
        <v>0</v>
      </c>
      <c r="AA3" s="4">
        <v>0</v>
      </c>
      <c r="AB3" s="4">
        <v>0</v>
      </c>
      <c r="AC3" s="4">
        <v>0</v>
      </c>
    </row>
    <row r="4" spans="1:29" s="3" customFormat="1" x14ac:dyDescent="0.35">
      <c r="A4" s="2" t="s">
        <v>27</v>
      </c>
      <c r="B4" s="2">
        <v>60.731201171875</v>
      </c>
      <c r="C4" s="2">
        <v>0.86205399036407504</v>
      </c>
      <c r="D4" s="2">
        <v>17.144199371337901</v>
      </c>
      <c r="E4" s="2">
        <v>4.0778098106384304</v>
      </c>
      <c r="F4" s="2">
        <v>7.7487997710704803E-2</v>
      </c>
      <c r="G4" s="2">
        <v>2.5086700916290301</v>
      </c>
      <c r="H4" s="2">
        <v>5.2207498550415004</v>
      </c>
      <c r="I4" s="2">
        <v>4.4555602073669398</v>
      </c>
      <c r="J4" s="2">
        <v>1.4141600131988501</v>
      </c>
      <c r="K4" s="2">
        <v>0</v>
      </c>
      <c r="L4" s="2">
        <v>0.31963801383972201</v>
      </c>
      <c r="M4" s="2">
        <v>3.1400001049041801</v>
      </c>
      <c r="N4" s="2">
        <v>0.2</v>
      </c>
      <c r="O4" s="2">
        <v>5</v>
      </c>
      <c r="P4" s="2">
        <v>1100</v>
      </c>
      <c r="Q4" s="2">
        <v>34</v>
      </c>
      <c r="R4" s="11"/>
      <c r="S4" s="4">
        <v>39.700000000000003</v>
      </c>
      <c r="T4" s="4">
        <v>0.05</v>
      </c>
      <c r="U4" s="4">
        <v>0.11</v>
      </c>
      <c r="V4" s="4">
        <v>15.6</v>
      </c>
      <c r="W4" s="4">
        <v>0.18</v>
      </c>
      <c r="X4" s="4">
        <v>44.5</v>
      </c>
      <c r="Y4" s="4">
        <v>0.31</v>
      </c>
      <c r="Z4" s="4">
        <v>0</v>
      </c>
      <c r="AA4" s="4">
        <v>0</v>
      </c>
      <c r="AB4" s="4">
        <v>0.03</v>
      </c>
      <c r="AC4" s="4">
        <v>0</v>
      </c>
    </row>
    <row r="5" spans="1:29" s="3" customFormat="1" x14ac:dyDescent="0.35">
      <c r="A5" s="2" t="s">
        <v>28</v>
      </c>
      <c r="B5" s="2">
        <v>61.532798767089801</v>
      </c>
      <c r="C5" s="2">
        <v>0.44086000323295599</v>
      </c>
      <c r="D5" s="2">
        <v>16.5088005065918</v>
      </c>
      <c r="E5" s="2">
        <v>3.3299000263214098</v>
      </c>
      <c r="F5" s="2">
        <v>3.7519998848438298E-2</v>
      </c>
      <c r="G5" s="2">
        <v>1.6414999961853001</v>
      </c>
      <c r="H5" s="2">
        <v>4.3429398536682102</v>
      </c>
      <c r="I5" s="2">
        <v>4.4085998535156197</v>
      </c>
      <c r="J5" s="2">
        <v>1.40699994564056</v>
      </c>
      <c r="K5" s="2">
        <v>0</v>
      </c>
      <c r="L5" s="2">
        <v>0.21573999524116499</v>
      </c>
      <c r="M5" s="2">
        <v>6.1999998092651403</v>
      </c>
      <c r="N5" s="2">
        <v>0.2</v>
      </c>
      <c r="O5" s="2">
        <v>5</v>
      </c>
      <c r="P5" s="2">
        <v>1100</v>
      </c>
      <c r="Q5" s="2">
        <v>35</v>
      </c>
      <c r="R5" s="11"/>
      <c r="S5" s="4">
        <v>40.5</v>
      </c>
      <c r="T5" s="4">
        <v>0.05</v>
      </c>
      <c r="U5" s="4">
        <v>0.1</v>
      </c>
      <c r="V5" s="4">
        <v>13.2</v>
      </c>
      <c r="W5" s="4">
        <v>0.18</v>
      </c>
      <c r="X5" s="4">
        <v>46.8</v>
      </c>
      <c r="Y5" s="4">
        <v>0.28999999999999998</v>
      </c>
      <c r="Z5" s="4">
        <v>0</v>
      </c>
      <c r="AA5" s="4">
        <v>0</v>
      </c>
      <c r="AB5" s="4">
        <v>0.02</v>
      </c>
      <c r="AC5" s="4">
        <v>0</v>
      </c>
    </row>
    <row r="6" spans="1:29" s="3" customFormat="1" x14ac:dyDescent="0.35">
      <c r="A6" s="2" t="s">
        <v>29</v>
      </c>
      <c r="B6" s="2">
        <v>52.969100952148402</v>
      </c>
      <c r="C6" s="2">
        <v>0.80341202020645097</v>
      </c>
      <c r="D6" s="2">
        <v>17.5629997253418</v>
      </c>
      <c r="E6" s="2">
        <v>5.9321699142456099</v>
      </c>
      <c r="F6" s="2">
        <v>0.14947199821472201</v>
      </c>
      <c r="G6" s="2">
        <v>3.7835099697113002</v>
      </c>
      <c r="H6" s="2">
        <v>7.6511001586914098</v>
      </c>
      <c r="I6" s="2">
        <v>3.8021900653839098</v>
      </c>
      <c r="J6" s="2">
        <v>0.551177978515625</v>
      </c>
      <c r="K6" s="2">
        <v>3.7367999553680399E-2</v>
      </c>
      <c r="L6" s="2">
        <v>0.19618199765682201</v>
      </c>
      <c r="M6" s="2">
        <v>6.57999992370606</v>
      </c>
      <c r="N6" s="2">
        <v>0.2</v>
      </c>
      <c r="O6" s="2">
        <v>5</v>
      </c>
      <c r="P6" s="2">
        <v>1100</v>
      </c>
      <c r="Q6" s="2">
        <v>36</v>
      </c>
      <c r="R6" s="11"/>
      <c r="S6" s="4">
        <v>40.5</v>
      </c>
      <c r="T6" s="4">
        <v>0</v>
      </c>
      <c r="U6" s="4">
        <v>0.1</v>
      </c>
      <c r="V6" s="4">
        <v>9.41</v>
      </c>
      <c r="W6" s="4">
        <v>0.1</v>
      </c>
      <c r="X6" s="4">
        <v>49.3</v>
      </c>
      <c r="Y6" s="4">
        <v>0.31</v>
      </c>
      <c r="Z6" s="4">
        <v>0</v>
      </c>
      <c r="AA6" s="4">
        <v>0</v>
      </c>
      <c r="AB6" s="4">
        <v>0</v>
      </c>
      <c r="AC6" s="4">
        <v>0</v>
      </c>
    </row>
    <row r="7" spans="1:29" s="2" customFormat="1" x14ac:dyDescent="0.35">
      <c r="A7" s="2" t="s">
        <v>30</v>
      </c>
      <c r="B7" s="2">
        <v>54.050201416015597</v>
      </c>
      <c r="C7" s="2">
        <v>0.85734802484512296</v>
      </c>
      <c r="D7" s="2">
        <v>17.333299636840799</v>
      </c>
      <c r="E7" s="2">
        <v>5.6007199287414604</v>
      </c>
      <c r="F7" s="2">
        <v>0.18637999892234799</v>
      </c>
      <c r="G7" s="2">
        <v>3.2709701061248802</v>
      </c>
      <c r="H7" s="2">
        <v>6.8121900558471697</v>
      </c>
      <c r="I7" s="2">
        <v>4.30537986755371</v>
      </c>
      <c r="J7" s="2">
        <v>0.596415996551514</v>
      </c>
      <c r="K7" s="2">
        <v>2.79569998383522E-2</v>
      </c>
      <c r="L7" s="2">
        <v>0.19569900631904599</v>
      </c>
      <c r="M7" s="2">
        <v>6.8099999427795401</v>
      </c>
      <c r="N7" s="2">
        <v>0.2</v>
      </c>
      <c r="O7" s="2">
        <v>5</v>
      </c>
      <c r="P7" s="2">
        <v>1100</v>
      </c>
      <c r="Q7" s="2">
        <v>37</v>
      </c>
      <c r="R7" s="11"/>
      <c r="S7" s="4">
        <v>40.5</v>
      </c>
      <c r="T7" s="4">
        <v>0.02</v>
      </c>
      <c r="U7" s="4">
        <v>0.1</v>
      </c>
      <c r="V7" s="4">
        <v>10.6</v>
      </c>
      <c r="W7" s="4">
        <v>0.15</v>
      </c>
      <c r="X7" s="4">
        <v>48.5</v>
      </c>
      <c r="Y7" s="4">
        <v>0.34</v>
      </c>
      <c r="Z7" s="4">
        <v>0</v>
      </c>
      <c r="AA7" s="4">
        <v>0</v>
      </c>
      <c r="AB7" s="4">
        <v>0.02</v>
      </c>
      <c r="AC7" s="4">
        <v>0</v>
      </c>
    </row>
    <row r="8" spans="1:29" s="2" customFormat="1" x14ac:dyDescent="0.35">
      <c r="A8" s="2" t="s">
        <v>31</v>
      </c>
      <c r="B8" s="2">
        <v>55.656299591064403</v>
      </c>
      <c r="C8" s="2">
        <v>0.89798402786254905</v>
      </c>
      <c r="D8" s="2">
        <v>17.117799758911101</v>
      </c>
      <c r="E8" s="2">
        <v>5.3130698204040501</v>
      </c>
      <c r="F8" s="2">
        <v>0.13095599412918099</v>
      </c>
      <c r="G8" s="2">
        <v>2.6752400398254399</v>
      </c>
      <c r="H8" s="2">
        <v>5.8649601936340297</v>
      </c>
      <c r="I8" s="2">
        <v>4.8640799522399902</v>
      </c>
      <c r="J8" s="2">
        <v>0.70155000686645497</v>
      </c>
      <c r="K8" s="2">
        <v>6.5477997064590496E-2</v>
      </c>
      <c r="L8" s="2">
        <v>0.215141996741295</v>
      </c>
      <c r="M8" s="2">
        <v>6.46000003814697</v>
      </c>
      <c r="N8" s="2">
        <v>0.2</v>
      </c>
      <c r="O8" s="2">
        <v>5</v>
      </c>
      <c r="P8" s="2">
        <v>1100</v>
      </c>
      <c r="Q8" s="2">
        <v>38</v>
      </c>
      <c r="R8" s="11"/>
      <c r="S8" s="4">
        <v>40.200000000000003</v>
      </c>
      <c r="T8" s="4">
        <v>0.04</v>
      </c>
      <c r="U8" s="4">
        <v>0.22</v>
      </c>
      <c r="V8" s="4">
        <v>15.3</v>
      </c>
      <c r="W8" s="4">
        <v>0.15</v>
      </c>
      <c r="X8" s="4">
        <v>44.6</v>
      </c>
      <c r="Y8" s="4">
        <v>0.41</v>
      </c>
      <c r="Z8" s="4">
        <v>0</v>
      </c>
      <c r="AA8" s="4">
        <v>0</v>
      </c>
      <c r="AB8" s="4">
        <v>0.02</v>
      </c>
      <c r="AC8" s="4">
        <v>0</v>
      </c>
    </row>
    <row r="9" spans="1:29" s="2" customFormat="1" x14ac:dyDescent="0.35">
      <c r="A9" s="2" t="s">
        <v>32</v>
      </c>
      <c r="B9" s="2">
        <v>49.054698944091797</v>
      </c>
      <c r="C9" s="2">
        <v>0.488831996917725</v>
      </c>
      <c r="D9" s="2">
        <v>14.664999961853001</v>
      </c>
      <c r="E9" s="2">
        <v>5.8316798210143999</v>
      </c>
      <c r="F9" s="2">
        <v>0.120063997805119</v>
      </c>
      <c r="G9" s="2">
        <v>4.2708501815795898</v>
      </c>
      <c r="H9" s="2">
        <v>7.5897598266601598</v>
      </c>
      <c r="I9" s="2">
        <v>1.0377000570297199</v>
      </c>
      <c r="J9" s="2">
        <v>0.24870400130748699</v>
      </c>
      <c r="K9" s="2">
        <v>8.5760001093149203E-3</v>
      </c>
      <c r="L9" s="2">
        <v>0</v>
      </c>
      <c r="M9" s="2">
        <v>14.2399997711182</v>
      </c>
      <c r="N9" s="2">
        <v>0.2</v>
      </c>
      <c r="O9" s="2">
        <v>5</v>
      </c>
      <c r="P9" s="2">
        <v>1100</v>
      </c>
      <c r="Q9" s="2">
        <v>39</v>
      </c>
      <c r="R9" s="11"/>
      <c r="S9" s="4">
        <v>39.6</v>
      </c>
      <c r="T9" s="4">
        <v>0.04</v>
      </c>
      <c r="U9" s="4">
        <v>0.06</v>
      </c>
      <c r="V9" s="4">
        <v>18.7</v>
      </c>
      <c r="W9" s="4">
        <v>0.19</v>
      </c>
      <c r="X9" s="4">
        <v>42.3</v>
      </c>
      <c r="Y9" s="4">
        <v>0.33</v>
      </c>
      <c r="Z9" s="4">
        <v>0</v>
      </c>
      <c r="AA9" s="4">
        <v>0</v>
      </c>
      <c r="AB9" s="4">
        <v>0</v>
      </c>
      <c r="AC9" s="4">
        <v>0</v>
      </c>
    </row>
    <row r="10" spans="1:29" s="2" customFormat="1" x14ac:dyDescent="0.35">
      <c r="A10" s="2" t="s">
        <v>33</v>
      </c>
      <c r="B10" s="2">
        <v>50.625099182128899</v>
      </c>
      <c r="C10" s="2">
        <v>0.33407399058342002</v>
      </c>
      <c r="D10" s="2">
        <v>16.875</v>
      </c>
      <c r="E10" s="2">
        <v>5.0196800231933603</v>
      </c>
      <c r="F10" s="2">
        <v>0.119924001395702</v>
      </c>
      <c r="G10" s="2">
        <v>3.16085004806519</v>
      </c>
      <c r="H10" s="2">
        <v>7.0412502288818404</v>
      </c>
      <c r="I10" s="2">
        <v>1.91877996921539</v>
      </c>
      <c r="J10" s="2">
        <v>0.616752028465271</v>
      </c>
      <c r="K10" s="2">
        <v>3.4263998270034797E-2</v>
      </c>
      <c r="L10" s="2">
        <v>0</v>
      </c>
      <c r="M10" s="2">
        <v>14.3400001525879</v>
      </c>
      <c r="N10" s="2">
        <v>0.2</v>
      </c>
      <c r="O10" s="2">
        <v>5</v>
      </c>
      <c r="P10" s="2">
        <v>1100</v>
      </c>
      <c r="Q10" s="2">
        <v>40</v>
      </c>
      <c r="R10" s="11"/>
      <c r="S10" s="4">
        <v>39.799999999999997</v>
      </c>
      <c r="T10" s="4">
        <v>0.05</v>
      </c>
      <c r="U10" s="4">
        <v>0.06</v>
      </c>
      <c r="V10" s="4">
        <v>17.2</v>
      </c>
      <c r="W10" s="4">
        <v>0.22</v>
      </c>
      <c r="X10" s="4">
        <v>43.1</v>
      </c>
      <c r="Y10" s="4">
        <v>0.38</v>
      </c>
      <c r="Z10" s="4">
        <v>0</v>
      </c>
      <c r="AA10" s="4">
        <v>0</v>
      </c>
      <c r="AB10" s="4">
        <v>0</v>
      </c>
      <c r="AC10" s="4">
        <v>0</v>
      </c>
    </row>
    <row r="11" spans="1:29" s="2" customFormat="1" x14ac:dyDescent="0.35">
      <c r="A11" s="2" t="s">
        <v>34</v>
      </c>
      <c r="B11" s="2">
        <v>51.4033012390137</v>
      </c>
      <c r="C11" s="2">
        <v>0.66387999057769798</v>
      </c>
      <c r="D11" s="2">
        <v>18.019599914550799</v>
      </c>
      <c r="E11" s="2">
        <v>5.9843997955322301</v>
      </c>
      <c r="F11" s="2">
        <v>0.14226000010967299</v>
      </c>
      <c r="G11" s="2">
        <v>5.3489799499511701</v>
      </c>
      <c r="H11" s="2">
        <v>9.7685203552246094</v>
      </c>
      <c r="I11" s="2">
        <v>3.0728199481964098</v>
      </c>
      <c r="J11" s="2">
        <v>0.407811999320984</v>
      </c>
      <c r="K11" s="2">
        <v>9.4839995726942999E-3</v>
      </c>
      <c r="L11" s="2">
        <v>0</v>
      </c>
      <c r="M11" s="2">
        <v>5.1599998474121103</v>
      </c>
      <c r="N11" s="2">
        <v>0.2</v>
      </c>
      <c r="O11" s="2">
        <v>5</v>
      </c>
      <c r="P11" s="2">
        <v>1100</v>
      </c>
      <c r="Q11" s="2">
        <v>41</v>
      </c>
      <c r="R11" s="11"/>
      <c r="S11" s="4">
        <v>39.700000000000003</v>
      </c>
      <c r="T11" s="4">
        <v>0.03</v>
      </c>
      <c r="U11" s="4">
        <v>0.06</v>
      </c>
      <c r="V11" s="4">
        <v>16.899999999999999</v>
      </c>
      <c r="W11" s="4">
        <v>0.2</v>
      </c>
      <c r="X11" s="4">
        <v>44</v>
      </c>
      <c r="Y11" s="4">
        <v>0.33</v>
      </c>
      <c r="Z11" s="4">
        <v>0</v>
      </c>
      <c r="AA11" s="4">
        <v>0</v>
      </c>
      <c r="AB11" s="4">
        <v>0</v>
      </c>
      <c r="AC11" s="4">
        <v>0</v>
      </c>
    </row>
    <row r="12" spans="1:29" x14ac:dyDescent="0.35">
      <c r="P12" s="1"/>
      <c r="Q12" s="1"/>
      <c r="R12" s="12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E53A4-2A1F-4062-B9B6-770C0078E88A}">
  <dimension ref="A1:Z42"/>
  <sheetViews>
    <sheetView tabSelected="1" workbookViewId="0">
      <selection activeCell="H5" sqref="H5"/>
    </sheetView>
  </sheetViews>
  <sheetFormatPr defaultRowHeight="15.5" x14ac:dyDescent="0.35"/>
  <sheetData>
    <row r="1" spans="1:26" x14ac:dyDescent="0.35">
      <c r="A1" t="s">
        <v>40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s="14" t="s">
        <v>46</v>
      </c>
      <c r="R1" s="15" t="s">
        <v>13</v>
      </c>
      <c r="S1" s="15" t="s">
        <v>15</v>
      </c>
      <c r="T1" s="15" t="s">
        <v>16</v>
      </c>
      <c r="U1" s="15" t="s">
        <v>17</v>
      </c>
      <c r="V1" s="15" t="s">
        <v>18</v>
      </c>
      <c r="W1" s="15" t="s">
        <v>19</v>
      </c>
      <c r="X1" s="15" t="s">
        <v>22</v>
      </c>
      <c r="Y1" s="16" t="s">
        <v>47</v>
      </c>
      <c r="Z1" s="15" t="s">
        <v>43</v>
      </c>
    </row>
    <row r="2" spans="1:26" x14ac:dyDescent="0.35">
      <c r="A2" t="s">
        <v>48</v>
      </c>
      <c r="B2">
        <v>53.083518805267367</v>
      </c>
      <c r="C2">
        <v>0.82599925119977946</v>
      </c>
      <c r="D2">
        <v>13.734173947269662</v>
      </c>
      <c r="E2">
        <v>8.1303299157904583</v>
      </c>
      <c r="F2">
        <v>0.14681367119376357</v>
      </c>
      <c r="G2">
        <v>11.156961421301775</v>
      </c>
      <c r="H2">
        <v>8.8264035617834864</v>
      </c>
      <c r="I2">
        <v>2.7967998231672899</v>
      </c>
      <c r="J2">
        <v>1.1002383057751137</v>
      </c>
      <c r="K2">
        <v>0.19876129725129035</v>
      </c>
      <c r="L2">
        <v>0</v>
      </c>
      <c r="M2">
        <v>0</v>
      </c>
      <c r="N2">
        <v>99.999999999999986</v>
      </c>
      <c r="O2">
        <v>330</v>
      </c>
      <c r="P2">
        <f>10^(-4)*74.6928*O2/58.6934</f>
        <v>4.1995563385321018E-2</v>
      </c>
      <c r="Q2" s="17" t="s">
        <v>49</v>
      </c>
      <c r="R2" s="18">
        <v>41.24</v>
      </c>
      <c r="S2" s="17">
        <v>0.03</v>
      </c>
      <c r="T2" s="18">
        <v>7.77</v>
      </c>
      <c r="U2" s="17">
        <v>0.12</v>
      </c>
      <c r="V2" s="18">
        <v>51.35</v>
      </c>
      <c r="W2" s="17">
        <v>0.14000000000000001</v>
      </c>
      <c r="X2" s="17">
        <v>7.0000000000000007E-2</v>
      </c>
      <c r="Y2" s="19">
        <v>0.49</v>
      </c>
      <c r="Z2" s="18">
        <f>SUM(R2:Y2)</f>
        <v>101.21</v>
      </c>
    </row>
    <row r="3" spans="1:26" x14ac:dyDescent="0.35">
      <c r="A3" t="s">
        <v>48</v>
      </c>
      <c r="B3">
        <v>53.083518805267367</v>
      </c>
      <c r="C3">
        <v>0.82599925119977946</v>
      </c>
      <c r="D3">
        <v>13.734173947269662</v>
      </c>
      <c r="E3">
        <v>8.1303299157904583</v>
      </c>
      <c r="F3">
        <v>0.14681367119376357</v>
      </c>
      <c r="G3">
        <v>11.156961421301775</v>
      </c>
      <c r="H3">
        <v>8.8264035617834864</v>
      </c>
      <c r="I3">
        <v>2.7967998231672899</v>
      </c>
      <c r="J3">
        <v>1.1002383057751137</v>
      </c>
      <c r="K3">
        <v>0.19876129725129035</v>
      </c>
      <c r="L3">
        <v>0</v>
      </c>
      <c r="M3">
        <v>0</v>
      </c>
      <c r="N3">
        <v>99.999999999999986</v>
      </c>
      <c r="O3">
        <v>330</v>
      </c>
      <c r="P3">
        <f t="shared" ref="P3:P32" si="0">10^(-4)*74.6928*O3/58.6934</f>
        <v>4.1995563385321018E-2</v>
      </c>
      <c r="Q3" s="17" t="s">
        <v>50</v>
      </c>
      <c r="R3" s="18">
        <v>40.950000000000003</v>
      </c>
      <c r="S3" s="17">
        <v>0.03</v>
      </c>
      <c r="T3" s="18">
        <v>8.32</v>
      </c>
      <c r="U3" s="17">
        <v>0.1</v>
      </c>
      <c r="V3" s="18">
        <v>50.56</v>
      </c>
      <c r="W3" s="17">
        <v>0.13</v>
      </c>
      <c r="X3" s="17">
        <v>0.05</v>
      </c>
      <c r="Y3" s="19">
        <v>0.51</v>
      </c>
      <c r="Z3" s="18">
        <f t="shared" ref="Z3:Z7" si="1">SUM(R3:Y3)</f>
        <v>100.65</v>
      </c>
    </row>
    <row r="4" spans="1:26" x14ac:dyDescent="0.35">
      <c r="A4" t="s">
        <v>48</v>
      </c>
      <c r="B4">
        <v>53.083518805267367</v>
      </c>
      <c r="C4">
        <v>0.82599925119977946</v>
      </c>
      <c r="D4">
        <v>13.734173947269662</v>
      </c>
      <c r="E4">
        <v>8.1303299157904583</v>
      </c>
      <c r="F4">
        <v>0.14681367119376357</v>
      </c>
      <c r="G4">
        <v>11.156961421301775</v>
      </c>
      <c r="H4">
        <v>8.8264035617834864</v>
      </c>
      <c r="I4">
        <v>2.7967998231672899</v>
      </c>
      <c r="J4">
        <v>1.1002383057751137</v>
      </c>
      <c r="K4">
        <v>0.19876129725129035</v>
      </c>
      <c r="L4">
        <v>0</v>
      </c>
      <c r="M4">
        <v>0</v>
      </c>
      <c r="N4">
        <v>99.999999999999986</v>
      </c>
      <c r="O4">
        <v>330</v>
      </c>
      <c r="P4">
        <f t="shared" si="0"/>
        <v>4.1995563385321018E-2</v>
      </c>
      <c r="Q4" s="17" t="s">
        <v>51</v>
      </c>
      <c r="R4" s="18">
        <v>41.05</v>
      </c>
      <c r="S4" s="17">
        <v>0.02</v>
      </c>
      <c r="T4" s="18">
        <v>8.24</v>
      </c>
      <c r="U4" s="17">
        <v>0.13</v>
      </c>
      <c r="V4" s="18">
        <v>50.86</v>
      </c>
      <c r="W4" s="17">
        <v>0.12</v>
      </c>
      <c r="X4" s="17">
        <v>0.06</v>
      </c>
      <c r="Y4" s="19">
        <v>0.47</v>
      </c>
      <c r="Z4" s="18">
        <f t="shared" si="1"/>
        <v>100.95000000000002</v>
      </c>
    </row>
    <row r="5" spans="1:26" x14ac:dyDescent="0.35">
      <c r="A5" t="s">
        <v>52</v>
      </c>
      <c r="B5">
        <v>67.729723803163665</v>
      </c>
      <c r="C5">
        <v>0.24200863177409873</v>
      </c>
      <c r="D5">
        <v>14.719666689923949</v>
      </c>
      <c r="E5">
        <v>2.5027161182931814</v>
      </c>
      <c r="F5">
        <v>5.4920410258454865E-2</v>
      </c>
      <c r="G5">
        <v>4.9851984012279855</v>
      </c>
      <c r="H5">
        <v>2.8011402713128071</v>
      </c>
      <c r="I5">
        <v>4.2805027559879196</v>
      </c>
      <c r="J5">
        <v>2.5879374445563008</v>
      </c>
      <c r="K5">
        <v>9.6185473501649618E-2</v>
      </c>
      <c r="L5">
        <v>0</v>
      </c>
      <c r="M5">
        <v>0</v>
      </c>
      <c r="N5">
        <v>100.00000000000003</v>
      </c>
      <c r="O5">
        <v>203</v>
      </c>
      <c r="P5">
        <f t="shared" si="0"/>
        <v>2.5833634446121714E-2</v>
      </c>
      <c r="Q5" s="17" t="s">
        <v>53</v>
      </c>
      <c r="R5" s="18">
        <v>41.11</v>
      </c>
      <c r="S5" s="17">
        <v>0.02</v>
      </c>
      <c r="T5" s="18">
        <v>7.75</v>
      </c>
      <c r="U5" s="17">
        <v>0.13</v>
      </c>
      <c r="V5" s="18">
        <v>50.9</v>
      </c>
      <c r="W5" s="17">
        <v>0.06</v>
      </c>
      <c r="X5" s="17">
        <v>0.08</v>
      </c>
      <c r="Y5" s="19">
        <v>1.1299999999999999</v>
      </c>
      <c r="Z5" s="18">
        <f t="shared" si="1"/>
        <v>101.17999999999999</v>
      </c>
    </row>
    <row r="6" spans="1:26" x14ac:dyDescent="0.35">
      <c r="A6" t="s">
        <v>52</v>
      </c>
      <c r="B6">
        <v>67.729723803163665</v>
      </c>
      <c r="C6">
        <v>0.24200863177409873</v>
      </c>
      <c r="D6">
        <v>14.719666689923949</v>
      </c>
      <c r="E6">
        <v>2.5027161182931814</v>
      </c>
      <c r="F6">
        <v>5.4920410258454865E-2</v>
      </c>
      <c r="G6">
        <v>4.9851984012279855</v>
      </c>
      <c r="H6">
        <v>2.8011402713128071</v>
      </c>
      <c r="I6">
        <v>4.2805027559879196</v>
      </c>
      <c r="J6">
        <v>2.5879374445563008</v>
      </c>
      <c r="K6">
        <v>9.6185473501649618E-2</v>
      </c>
      <c r="L6">
        <v>0</v>
      </c>
      <c r="M6">
        <v>0</v>
      </c>
      <c r="N6">
        <v>100.00000000000003</v>
      </c>
      <c r="O6">
        <v>203</v>
      </c>
      <c r="P6">
        <f t="shared" si="0"/>
        <v>2.5833634446121714E-2</v>
      </c>
      <c r="Q6" s="17" t="s">
        <v>54</v>
      </c>
      <c r="R6" s="18">
        <v>40.81</v>
      </c>
      <c r="S6" s="17">
        <v>0.02</v>
      </c>
      <c r="T6" s="18">
        <v>9.6199999999999992</v>
      </c>
      <c r="U6" s="17">
        <v>0.16</v>
      </c>
      <c r="V6" s="18">
        <v>49.49</v>
      </c>
      <c r="W6" s="17">
        <v>0.06</v>
      </c>
      <c r="X6" s="17">
        <v>0.03</v>
      </c>
      <c r="Y6" s="19">
        <v>1.06</v>
      </c>
      <c r="Z6" s="18">
        <f t="shared" si="1"/>
        <v>101.25</v>
      </c>
    </row>
    <row r="7" spans="1:26" x14ac:dyDescent="0.35">
      <c r="A7" t="s">
        <v>52</v>
      </c>
      <c r="B7">
        <v>67.729723803163665</v>
      </c>
      <c r="C7">
        <v>0.24200863177409873</v>
      </c>
      <c r="D7">
        <v>14.719666689923949</v>
      </c>
      <c r="E7">
        <v>2.5027161182931814</v>
      </c>
      <c r="F7">
        <v>5.4920410258454865E-2</v>
      </c>
      <c r="G7">
        <v>4.9851984012279855</v>
      </c>
      <c r="H7">
        <v>2.8011402713128071</v>
      </c>
      <c r="I7">
        <v>4.2805027559879196</v>
      </c>
      <c r="J7">
        <v>2.5879374445563008</v>
      </c>
      <c r="K7">
        <v>9.6185473501649618E-2</v>
      </c>
      <c r="L7">
        <v>0</v>
      </c>
      <c r="M7">
        <v>0</v>
      </c>
      <c r="N7">
        <v>100.00000000000003</v>
      </c>
      <c r="O7">
        <v>203</v>
      </c>
      <c r="P7">
        <f t="shared" si="0"/>
        <v>2.5833634446121714E-2</v>
      </c>
      <c r="Q7" s="17" t="s">
        <v>55</v>
      </c>
      <c r="R7" s="18">
        <v>39.409999999999997</v>
      </c>
      <c r="S7" s="17">
        <v>0.01</v>
      </c>
      <c r="T7" s="18">
        <v>15.01</v>
      </c>
      <c r="U7" s="17">
        <v>0.24</v>
      </c>
      <c r="V7" s="18">
        <v>44.03</v>
      </c>
      <c r="W7" s="17">
        <v>0.05</v>
      </c>
      <c r="X7" s="17">
        <v>0.03</v>
      </c>
      <c r="Y7" s="19">
        <v>1.21</v>
      </c>
      <c r="Z7" s="18">
        <f t="shared" si="1"/>
        <v>99.989999999999981</v>
      </c>
    </row>
    <row r="8" spans="1:26" x14ac:dyDescent="0.35">
      <c r="A8" t="s">
        <v>56</v>
      </c>
      <c r="B8">
        <v>52.118830534583942</v>
      </c>
      <c r="C8">
        <v>0.85819954385597064</v>
      </c>
      <c r="D8">
        <v>14.107591787382404</v>
      </c>
      <c r="E8">
        <v>8.3296771123685378</v>
      </c>
      <c r="F8">
        <v>0.15309709666684737</v>
      </c>
      <c r="G8">
        <v>12.18995979289525</v>
      </c>
      <c r="H8">
        <v>8.3885775041149895</v>
      </c>
      <c r="I8">
        <v>2.5319608675839991</v>
      </c>
      <c r="J8">
        <v>1.1486733740974437</v>
      </c>
      <c r="K8">
        <v>0.17343238645060602</v>
      </c>
      <c r="L8">
        <v>0</v>
      </c>
      <c r="M8">
        <v>0</v>
      </c>
      <c r="N8">
        <v>99.999999999999986</v>
      </c>
      <c r="O8">
        <v>314</v>
      </c>
      <c r="P8">
        <f t="shared" si="0"/>
        <v>3.9959414857547879E-2</v>
      </c>
      <c r="Q8" s="17" t="s">
        <v>57</v>
      </c>
      <c r="R8" s="18">
        <v>41.28</v>
      </c>
      <c r="S8" s="17">
        <v>0.03</v>
      </c>
      <c r="T8" s="18">
        <v>8</v>
      </c>
      <c r="U8" s="17">
        <v>0.13</v>
      </c>
      <c r="V8" s="18">
        <v>50.62</v>
      </c>
      <c r="W8" s="17">
        <v>0.14000000000000001</v>
      </c>
      <c r="X8" s="17">
        <v>0.05</v>
      </c>
      <c r="Y8" s="19">
        <v>0.48</v>
      </c>
      <c r="Z8" s="18">
        <v>100.0458</v>
      </c>
    </row>
    <row r="9" spans="1:26" x14ac:dyDescent="0.35">
      <c r="A9" t="s">
        <v>56</v>
      </c>
      <c r="B9">
        <v>52.118830534583942</v>
      </c>
      <c r="C9">
        <v>0.85819954385597064</v>
      </c>
      <c r="D9">
        <v>14.107591787382404</v>
      </c>
      <c r="E9">
        <v>8.3296771123685378</v>
      </c>
      <c r="F9">
        <v>0.15309709666684737</v>
      </c>
      <c r="G9">
        <v>12.18995979289525</v>
      </c>
      <c r="H9">
        <v>8.3885775041149895</v>
      </c>
      <c r="I9">
        <v>2.5319608675839991</v>
      </c>
      <c r="J9">
        <v>1.1486733740974437</v>
      </c>
      <c r="K9">
        <v>0.17343238645060602</v>
      </c>
      <c r="L9">
        <v>0</v>
      </c>
      <c r="M9">
        <v>0</v>
      </c>
      <c r="N9">
        <v>99.999999999999986</v>
      </c>
      <c r="O9">
        <v>314</v>
      </c>
      <c r="P9">
        <f t="shared" si="0"/>
        <v>3.9959414857547879E-2</v>
      </c>
      <c r="Q9" s="17" t="s">
        <v>58</v>
      </c>
      <c r="R9" s="18">
        <v>41.6</v>
      </c>
      <c r="S9" s="17">
        <v>0.02</v>
      </c>
      <c r="T9" s="18">
        <v>8.33</v>
      </c>
      <c r="U9" s="17">
        <v>0.14000000000000001</v>
      </c>
      <c r="V9" s="18">
        <v>50.65</v>
      </c>
      <c r="W9" s="17">
        <v>0.14000000000000001</v>
      </c>
      <c r="X9" s="17">
        <v>0.1</v>
      </c>
      <c r="Y9" s="19">
        <v>0.45</v>
      </c>
      <c r="Z9" s="18">
        <v>100.0458</v>
      </c>
    </row>
    <row r="10" spans="1:26" x14ac:dyDescent="0.35">
      <c r="A10" t="s">
        <v>56</v>
      </c>
      <c r="B10">
        <v>52.118830534583942</v>
      </c>
      <c r="C10">
        <v>0.85819954385597064</v>
      </c>
      <c r="D10">
        <v>14.107591787382404</v>
      </c>
      <c r="E10">
        <v>8.3296771123685378</v>
      </c>
      <c r="F10">
        <v>0.15309709666684737</v>
      </c>
      <c r="G10">
        <v>12.18995979289525</v>
      </c>
      <c r="H10">
        <v>8.3885775041149895</v>
      </c>
      <c r="I10">
        <v>2.5319608675839991</v>
      </c>
      <c r="J10">
        <v>1.1486733740974437</v>
      </c>
      <c r="K10">
        <v>0.17343238645060602</v>
      </c>
      <c r="L10">
        <v>0</v>
      </c>
      <c r="M10">
        <v>0</v>
      </c>
      <c r="N10">
        <v>99.999999999999986</v>
      </c>
      <c r="O10">
        <v>314</v>
      </c>
      <c r="P10">
        <f t="shared" si="0"/>
        <v>3.9959414857547879E-2</v>
      </c>
      <c r="Q10" s="17" t="s">
        <v>59</v>
      </c>
      <c r="R10" s="18">
        <v>41.35</v>
      </c>
      <c r="S10" s="17">
        <v>0.03</v>
      </c>
      <c r="T10" s="18">
        <v>8.84</v>
      </c>
      <c r="U10" s="17">
        <v>0.13</v>
      </c>
      <c r="V10" s="18">
        <v>50.05</v>
      </c>
      <c r="W10" s="17">
        <v>0.16</v>
      </c>
      <c r="X10" s="17">
        <v>0.11</v>
      </c>
      <c r="Y10" s="19">
        <v>0.44</v>
      </c>
      <c r="Z10" s="18">
        <v>100.0458</v>
      </c>
    </row>
    <row r="11" spans="1:26" x14ac:dyDescent="0.35">
      <c r="A11" t="s">
        <v>60</v>
      </c>
      <c r="B11">
        <v>52.196441509690892</v>
      </c>
      <c r="C11">
        <v>0.78083955494990709</v>
      </c>
      <c r="D11">
        <v>15.673697677703496</v>
      </c>
      <c r="E11">
        <v>7.8393893111153803</v>
      </c>
      <c r="F11">
        <v>0.14145349563902535</v>
      </c>
      <c r="G11">
        <v>11.626115648394574</v>
      </c>
      <c r="H11">
        <v>8.2167002517099945</v>
      </c>
      <c r="I11">
        <v>2.3751383287147552</v>
      </c>
      <c r="J11">
        <v>0.97564296812520268</v>
      </c>
      <c r="K11">
        <v>0.17458125395678559</v>
      </c>
      <c r="L11">
        <v>0</v>
      </c>
      <c r="M11">
        <v>0</v>
      </c>
      <c r="N11">
        <v>100.00000000000001</v>
      </c>
      <c r="O11">
        <v>316</v>
      </c>
      <c r="P11">
        <f t="shared" si="0"/>
        <v>4.0213933423519518E-2</v>
      </c>
      <c r="Q11" s="17" t="s">
        <v>61</v>
      </c>
      <c r="R11" s="18">
        <v>41.01</v>
      </c>
      <c r="S11" s="17">
        <v>0.03</v>
      </c>
      <c r="T11" s="18">
        <v>9</v>
      </c>
      <c r="U11" s="17">
        <v>0.12</v>
      </c>
      <c r="V11" s="18">
        <v>50.23</v>
      </c>
      <c r="W11" s="17">
        <v>0.02</v>
      </c>
      <c r="X11" s="17">
        <v>0.08</v>
      </c>
      <c r="Y11" s="19">
        <v>0.47</v>
      </c>
      <c r="Z11" s="18">
        <v>100.0458</v>
      </c>
    </row>
    <row r="12" spans="1:26" x14ac:dyDescent="0.35">
      <c r="A12" t="s">
        <v>60</v>
      </c>
      <c r="B12">
        <v>52.196441509690892</v>
      </c>
      <c r="C12">
        <v>0.78083955494990709</v>
      </c>
      <c r="D12">
        <v>15.673697677703496</v>
      </c>
      <c r="E12">
        <v>7.8393893111153803</v>
      </c>
      <c r="F12">
        <v>0.14145349563902535</v>
      </c>
      <c r="G12">
        <v>11.626115648394574</v>
      </c>
      <c r="H12">
        <v>8.2167002517099945</v>
      </c>
      <c r="I12">
        <v>2.3751383287147552</v>
      </c>
      <c r="J12">
        <v>0.97564296812520268</v>
      </c>
      <c r="K12">
        <v>0.17458125395678559</v>
      </c>
      <c r="L12">
        <v>0</v>
      </c>
      <c r="M12">
        <v>0</v>
      </c>
      <c r="N12">
        <v>100.00000000000001</v>
      </c>
      <c r="O12">
        <v>316</v>
      </c>
      <c r="P12">
        <f t="shared" si="0"/>
        <v>4.0213933423519518E-2</v>
      </c>
      <c r="Q12" s="17" t="s">
        <v>62</v>
      </c>
      <c r="R12" s="18">
        <v>41.53</v>
      </c>
      <c r="S12" s="17">
        <v>0.03</v>
      </c>
      <c r="T12" s="18">
        <v>7.28</v>
      </c>
      <c r="U12" s="17">
        <v>0.12</v>
      </c>
      <c r="V12" s="18">
        <v>51.94</v>
      </c>
      <c r="W12" s="17">
        <v>0.04</v>
      </c>
      <c r="X12" s="17">
        <v>0.08</v>
      </c>
      <c r="Y12" s="19">
        <v>0.42</v>
      </c>
      <c r="Z12" s="18">
        <v>100.0458</v>
      </c>
    </row>
    <row r="13" spans="1:26" x14ac:dyDescent="0.35">
      <c r="A13" t="s">
        <v>60</v>
      </c>
      <c r="B13">
        <v>52.196441509690892</v>
      </c>
      <c r="C13">
        <v>0.78083955494990709</v>
      </c>
      <c r="D13">
        <v>15.673697677703496</v>
      </c>
      <c r="E13">
        <v>7.8393893111153803</v>
      </c>
      <c r="F13">
        <v>0.14145349563902535</v>
      </c>
      <c r="G13">
        <v>11.626115648394574</v>
      </c>
      <c r="H13">
        <v>8.2167002517099945</v>
      </c>
      <c r="I13">
        <v>2.3751383287147552</v>
      </c>
      <c r="J13">
        <v>0.97564296812520268</v>
      </c>
      <c r="K13">
        <v>0.17458125395678559</v>
      </c>
      <c r="L13">
        <v>0</v>
      </c>
      <c r="M13">
        <v>0</v>
      </c>
      <c r="N13">
        <v>100.00000000000001</v>
      </c>
      <c r="O13">
        <v>316</v>
      </c>
      <c r="P13">
        <f t="shared" si="0"/>
        <v>4.0213933423519518E-2</v>
      </c>
      <c r="Q13" s="17" t="s">
        <v>63</v>
      </c>
      <c r="R13" s="18">
        <v>40.72</v>
      </c>
      <c r="S13" s="17">
        <v>0.03</v>
      </c>
      <c r="T13" s="18">
        <v>8.1199999999999992</v>
      </c>
      <c r="U13" s="17">
        <v>0.11</v>
      </c>
      <c r="V13" s="18">
        <v>51.28</v>
      </c>
      <c r="W13" s="17">
        <v>1.7999999999999999E-2</v>
      </c>
      <c r="X13" s="17">
        <v>0.08</v>
      </c>
      <c r="Y13" s="19">
        <v>0.43</v>
      </c>
      <c r="Z13" s="18">
        <v>100.0458</v>
      </c>
    </row>
    <row r="14" spans="1:26" x14ac:dyDescent="0.35">
      <c r="A14" t="s">
        <v>64</v>
      </c>
      <c r="B14">
        <v>52.319115372855315</v>
      </c>
      <c r="C14">
        <v>0.95083137312815591</v>
      </c>
      <c r="D14">
        <v>14.960108316223266</v>
      </c>
      <c r="E14">
        <v>7.7529255516187323</v>
      </c>
      <c r="F14">
        <v>0.14289050590598884</v>
      </c>
      <c r="G14">
        <v>10.784033404306101</v>
      </c>
      <c r="H14">
        <v>8.4254081689353537</v>
      </c>
      <c r="I14">
        <v>2.8727820314643173</v>
      </c>
      <c r="J14">
        <v>1.5051196997935061</v>
      </c>
      <c r="K14">
        <v>0.28678557576923946</v>
      </c>
      <c r="L14">
        <v>0</v>
      </c>
      <c r="M14">
        <v>0</v>
      </c>
      <c r="N14">
        <v>99.999999999999972</v>
      </c>
      <c r="O14">
        <v>243</v>
      </c>
      <c r="P14">
        <f t="shared" si="0"/>
        <v>3.0924005765554565E-2</v>
      </c>
      <c r="Q14" s="17" t="s">
        <v>58</v>
      </c>
      <c r="R14" s="18">
        <v>40.31</v>
      </c>
      <c r="S14" s="17">
        <v>0.03</v>
      </c>
      <c r="T14" s="18">
        <v>8.33</v>
      </c>
      <c r="U14" s="17">
        <v>0.11</v>
      </c>
      <c r="V14" s="18">
        <v>51.2</v>
      </c>
      <c r="W14" s="17">
        <v>0.15</v>
      </c>
      <c r="X14" s="17">
        <v>0.09</v>
      </c>
      <c r="Y14" s="19">
        <v>0.41</v>
      </c>
      <c r="Z14" s="18">
        <v>100.0458</v>
      </c>
    </row>
    <row r="15" spans="1:26" x14ac:dyDescent="0.35">
      <c r="A15" t="s">
        <v>64</v>
      </c>
      <c r="B15">
        <v>52.319115372855315</v>
      </c>
      <c r="C15">
        <v>0.95083137312815591</v>
      </c>
      <c r="D15">
        <v>14.960108316223266</v>
      </c>
      <c r="E15">
        <v>7.7529255516187323</v>
      </c>
      <c r="F15">
        <v>0.14289050590598884</v>
      </c>
      <c r="G15">
        <v>10.784033404306101</v>
      </c>
      <c r="H15">
        <v>8.4254081689353537</v>
      </c>
      <c r="I15">
        <v>2.8727820314643173</v>
      </c>
      <c r="J15">
        <v>1.5051196997935061</v>
      </c>
      <c r="K15">
        <v>0.28678557576923946</v>
      </c>
      <c r="L15">
        <v>0</v>
      </c>
      <c r="M15">
        <v>0</v>
      </c>
      <c r="N15">
        <v>99.999999999999972</v>
      </c>
      <c r="O15">
        <v>243</v>
      </c>
      <c r="P15">
        <f t="shared" si="0"/>
        <v>3.0924005765554565E-2</v>
      </c>
      <c r="Q15" s="17" t="s">
        <v>65</v>
      </c>
      <c r="R15" s="18">
        <v>40.28</v>
      </c>
      <c r="S15" s="17">
        <v>0.03</v>
      </c>
      <c r="T15" s="18">
        <v>10.27</v>
      </c>
      <c r="U15" s="17">
        <v>0.16</v>
      </c>
      <c r="V15" s="18">
        <v>49.81</v>
      </c>
      <c r="W15" s="17">
        <v>0.15</v>
      </c>
      <c r="X15" s="17">
        <v>0.1</v>
      </c>
      <c r="Y15" s="19">
        <v>0.31</v>
      </c>
      <c r="Z15" s="18">
        <v>100.0458</v>
      </c>
    </row>
    <row r="16" spans="1:26" x14ac:dyDescent="0.35">
      <c r="A16" t="s">
        <v>64</v>
      </c>
      <c r="B16">
        <v>52.319115372855315</v>
      </c>
      <c r="C16">
        <v>0.95083137312815591</v>
      </c>
      <c r="D16">
        <v>14.960108316223266</v>
      </c>
      <c r="E16">
        <v>7.7529255516187323</v>
      </c>
      <c r="F16">
        <v>0.14289050590598884</v>
      </c>
      <c r="G16">
        <v>10.784033404306101</v>
      </c>
      <c r="H16">
        <v>8.4254081689353537</v>
      </c>
      <c r="I16">
        <v>2.8727820314643173</v>
      </c>
      <c r="J16">
        <v>1.5051196997935061</v>
      </c>
      <c r="K16">
        <v>0.28678557576923946</v>
      </c>
      <c r="L16">
        <v>0</v>
      </c>
      <c r="M16">
        <v>0</v>
      </c>
      <c r="N16">
        <v>99.999999999999972</v>
      </c>
      <c r="O16">
        <v>243</v>
      </c>
      <c r="P16">
        <f t="shared" si="0"/>
        <v>3.0924005765554565E-2</v>
      </c>
      <c r="Q16" s="17" t="s">
        <v>66</v>
      </c>
      <c r="R16" s="18">
        <v>40.42</v>
      </c>
      <c r="S16" s="17">
        <v>0.03</v>
      </c>
      <c r="T16" s="18">
        <v>9.92</v>
      </c>
      <c r="U16" s="17">
        <v>0.16</v>
      </c>
      <c r="V16" s="18">
        <v>49.94</v>
      </c>
      <c r="W16" s="17">
        <v>0.15</v>
      </c>
      <c r="X16" s="17">
        <v>7.0000000000000007E-2</v>
      </c>
      <c r="Y16" s="19">
        <v>0.32</v>
      </c>
      <c r="Z16" s="18">
        <v>100.0458</v>
      </c>
    </row>
    <row r="17" spans="1:26" x14ac:dyDescent="0.35">
      <c r="A17" t="s">
        <v>67</v>
      </c>
      <c r="B17">
        <v>51.331886132261687</v>
      </c>
      <c r="C17">
        <v>0.62426424783180046</v>
      </c>
      <c r="D17">
        <v>15.52354623270972</v>
      </c>
      <c r="E17">
        <v>7.9033094358069054</v>
      </c>
      <c r="F17">
        <v>0.13649592390901641</v>
      </c>
      <c r="G17">
        <v>11.676338370021373</v>
      </c>
      <c r="H17">
        <v>9.903001872768634</v>
      </c>
      <c r="I17">
        <v>2.3138080896303799</v>
      </c>
      <c r="J17">
        <v>0.49490232929129668</v>
      </c>
      <c r="K17">
        <v>9.2447365769176781E-2</v>
      </c>
      <c r="L17">
        <v>0</v>
      </c>
      <c r="M17">
        <v>0</v>
      </c>
      <c r="N17">
        <v>99.999999999999986</v>
      </c>
      <c r="O17">
        <v>267</v>
      </c>
      <c r="P17">
        <f t="shared" si="0"/>
        <v>3.3978228557214274E-2</v>
      </c>
      <c r="Q17" s="17" t="s">
        <v>68</v>
      </c>
      <c r="R17" s="18">
        <v>41.24</v>
      </c>
      <c r="S17" s="17">
        <v>0.04</v>
      </c>
      <c r="T17" s="18">
        <v>7.57</v>
      </c>
      <c r="U17" s="17">
        <v>0.11</v>
      </c>
      <c r="V17" s="18">
        <v>51.49</v>
      </c>
      <c r="W17" s="17">
        <v>0.16</v>
      </c>
      <c r="X17" s="17">
        <v>0.05</v>
      </c>
      <c r="Y17" s="19">
        <v>0.34</v>
      </c>
      <c r="Z17" s="18">
        <v>100.0458</v>
      </c>
    </row>
    <row r="18" spans="1:26" x14ac:dyDescent="0.35">
      <c r="A18" t="s">
        <v>67</v>
      </c>
      <c r="B18">
        <v>51.331886132261687</v>
      </c>
      <c r="C18">
        <v>0.62426424783180046</v>
      </c>
      <c r="D18">
        <v>15.52354623270972</v>
      </c>
      <c r="E18">
        <v>7.9033094358069054</v>
      </c>
      <c r="F18">
        <v>0.13649592390901641</v>
      </c>
      <c r="G18">
        <v>11.676338370021373</v>
      </c>
      <c r="H18">
        <v>9.903001872768634</v>
      </c>
      <c r="I18">
        <v>2.3138080896303799</v>
      </c>
      <c r="J18">
        <v>0.49490232929129668</v>
      </c>
      <c r="K18">
        <v>9.2447365769176781E-2</v>
      </c>
      <c r="L18">
        <v>0</v>
      </c>
      <c r="M18">
        <v>0</v>
      </c>
      <c r="N18">
        <v>99.999999999999986</v>
      </c>
      <c r="O18">
        <v>267</v>
      </c>
      <c r="P18">
        <f t="shared" si="0"/>
        <v>3.3978228557214274E-2</v>
      </c>
      <c r="Q18" s="17" t="s">
        <v>69</v>
      </c>
      <c r="R18" s="18">
        <v>40.85</v>
      </c>
      <c r="S18" s="17">
        <v>0.02</v>
      </c>
      <c r="T18" s="18">
        <v>9.6300000000000008</v>
      </c>
      <c r="U18" s="17">
        <v>0.14000000000000001</v>
      </c>
      <c r="V18" s="18">
        <v>49.62</v>
      </c>
      <c r="W18" s="17">
        <v>0.14000000000000001</v>
      </c>
      <c r="X18" s="17">
        <v>7.0000000000000007E-2</v>
      </c>
      <c r="Y18" s="19">
        <v>0.37</v>
      </c>
      <c r="Z18" s="18">
        <v>100.0458</v>
      </c>
    </row>
    <row r="19" spans="1:26" x14ac:dyDescent="0.35">
      <c r="A19" t="s">
        <v>67</v>
      </c>
      <c r="B19">
        <v>51.331886132261687</v>
      </c>
      <c r="C19">
        <v>0.62426424783180046</v>
      </c>
      <c r="D19">
        <v>15.52354623270972</v>
      </c>
      <c r="E19">
        <v>7.9033094358069054</v>
      </c>
      <c r="F19">
        <v>0.13649592390901641</v>
      </c>
      <c r="G19">
        <v>11.676338370021373</v>
      </c>
      <c r="H19">
        <v>9.903001872768634</v>
      </c>
      <c r="I19">
        <v>2.3138080896303799</v>
      </c>
      <c r="J19">
        <v>0.49490232929129668</v>
      </c>
      <c r="K19">
        <v>9.2447365769176781E-2</v>
      </c>
      <c r="L19">
        <v>0</v>
      </c>
      <c r="M19">
        <v>0</v>
      </c>
      <c r="N19">
        <v>99.999999999999986</v>
      </c>
      <c r="O19">
        <v>267</v>
      </c>
      <c r="P19">
        <f t="shared" si="0"/>
        <v>3.3978228557214274E-2</v>
      </c>
      <c r="Q19" s="17" t="s">
        <v>70</v>
      </c>
      <c r="R19" s="18">
        <v>41.33</v>
      </c>
      <c r="S19" s="17">
        <v>0.06</v>
      </c>
      <c r="T19" s="18">
        <v>7.8</v>
      </c>
      <c r="U19" s="17">
        <v>0.13</v>
      </c>
      <c r="V19" s="18">
        <v>51.45</v>
      </c>
      <c r="W19" s="17">
        <v>0.17</v>
      </c>
      <c r="X19" s="17">
        <v>0.05</v>
      </c>
      <c r="Y19" s="19">
        <v>0.32</v>
      </c>
      <c r="Z19" s="18">
        <v>100.0458</v>
      </c>
    </row>
    <row r="20" spans="1:26" x14ac:dyDescent="0.35">
      <c r="A20" t="s">
        <v>71</v>
      </c>
      <c r="B20">
        <v>53.087041317611181</v>
      </c>
      <c r="C20">
        <v>0.81523356744393027</v>
      </c>
      <c r="D20">
        <v>14.268908020869176</v>
      </c>
      <c r="E20">
        <v>8.1090516149797178</v>
      </c>
      <c r="F20">
        <v>0.1452891506335717</v>
      </c>
      <c r="G20">
        <v>11.974751974267681</v>
      </c>
      <c r="H20">
        <v>7.9177542333121815</v>
      </c>
      <c r="I20">
        <v>2.3308819152338711</v>
      </c>
      <c r="J20">
        <v>1.1857209015595385</v>
      </c>
      <c r="K20">
        <v>0.16536730408918335</v>
      </c>
      <c r="L20">
        <v>0</v>
      </c>
      <c r="M20">
        <v>0</v>
      </c>
      <c r="N20">
        <v>100.00000000000004</v>
      </c>
      <c r="O20">
        <v>281</v>
      </c>
      <c r="P20">
        <f t="shared" si="0"/>
        <v>3.5759858519015773E-2</v>
      </c>
      <c r="Q20" s="17" t="s">
        <v>72</v>
      </c>
      <c r="R20" s="18">
        <v>40.33</v>
      </c>
      <c r="S20" s="17">
        <v>5.8700000000000002E-2</v>
      </c>
      <c r="T20" s="18">
        <v>8</v>
      </c>
      <c r="U20" s="17">
        <v>0.12</v>
      </c>
      <c r="V20" s="18">
        <v>50.79</v>
      </c>
      <c r="W20" s="17">
        <v>0.12</v>
      </c>
      <c r="X20" s="17">
        <v>7.0000000000000007E-2</v>
      </c>
      <c r="Y20" s="19">
        <v>0.53</v>
      </c>
      <c r="Z20" s="18">
        <v>100.0458</v>
      </c>
    </row>
    <row r="21" spans="1:26" x14ac:dyDescent="0.35">
      <c r="A21" t="s">
        <v>71</v>
      </c>
      <c r="B21">
        <v>53.087041317611181</v>
      </c>
      <c r="C21">
        <v>0.81523356744393027</v>
      </c>
      <c r="D21">
        <v>14.268908020869176</v>
      </c>
      <c r="E21">
        <v>8.1090516149797178</v>
      </c>
      <c r="F21">
        <v>0.1452891506335717</v>
      </c>
      <c r="G21">
        <v>11.974751974267681</v>
      </c>
      <c r="H21">
        <v>7.9177542333121815</v>
      </c>
      <c r="I21">
        <v>2.3308819152338711</v>
      </c>
      <c r="J21">
        <v>1.1857209015595385</v>
      </c>
      <c r="K21">
        <v>0.16536730408918335</v>
      </c>
      <c r="L21">
        <v>0</v>
      </c>
      <c r="M21">
        <v>0</v>
      </c>
      <c r="N21">
        <v>100.00000000000004</v>
      </c>
      <c r="O21">
        <v>281</v>
      </c>
      <c r="P21">
        <f t="shared" si="0"/>
        <v>3.5759858519015773E-2</v>
      </c>
      <c r="Q21" s="17" t="s">
        <v>73</v>
      </c>
      <c r="R21" s="18">
        <v>39.909999999999997</v>
      </c>
      <c r="S21" s="17">
        <v>5.8700000000000002E-2</v>
      </c>
      <c r="T21" s="18">
        <v>8.99</v>
      </c>
      <c r="U21" s="17">
        <v>0.15</v>
      </c>
      <c r="V21" s="18">
        <v>49.52</v>
      </c>
      <c r="W21" s="17">
        <v>0.15</v>
      </c>
      <c r="X21" s="17">
        <v>7.0000000000000007E-2</v>
      </c>
      <c r="Y21" s="19">
        <v>0.35</v>
      </c>
      <c r="Z21" s="18">
        <v>100.0458</v>
      </c>
    </row>
    <row r="22" spans="1:26" x14ac:dyDescent="0.35">
      <c r="A22" t="s">
        <v>71</v>
      </c>
      <c r="B22">
        <v>53.087041317611181</v>
      </c>
      <c r="C22">
        <v>0.81523356744393027</v>
      </c>
      <c r="D22">
        <v>14.268908020869176</v>
      </c>
      <c r="E22">
        <v>8.1090516149797178</v>
      </c>
      <c r="F22">
        <v>0.1452891506335717</v>
      </c>
      <c r="G22">
        <v>11.974751974267681</v>
      </c>
      <c r="H22">
        <v>7.9177542333121815</v>
      </c>
      <c r="I22">
        <v>2.3308819152338711</v>
      </c>
      <c r="J22">
        <v>1.1857209015595385</v>
      </c>
      <c r="K22">
        <v>0.16536730408918335</v>
      </c>
      <c r="L22">
        <v>0</v>
      </c>
      <c r="M22">
        <v>0</v>
      </c>
      <c r="N22">
        <v>100.00000000000004</v>
      </c>
      <c r="O22">
        <v>281</v>
      </c>
      <c r="P22">
        <f t="shared" si="0"/>
        <v>3.5759858519015773E-2</v>
      </c>
      <c r="Q22" s="17" t="s">
        <v>65</v>
      </c>
      <c r="R22" s="18">
        <v>40.18</v>
      </c>
      <c r="S22" s="17">
        <v>5.8700000000000002E-2</v>
      </c>
      <c r="T22" s="18">
        <v>9.4700000000000006</v>
      </c>
      <c r="U22" s="17">
        <v>0.14000000000000001</v>
      </c>
      <c r="V22" s="18">
        <v>49.31</v>
      </c>
      <c r="W22" s="17">
        <v>0.15</v>
      </c>
      <c r="X22" s="17">
        <v>7.0000000000000007E-2</v>
      </c>
      <c r="Y22" s="19">
        <v>0.35</v>
      </c>
      <c r="Z22" s="18">
        <v>100.0458</v>
      </c>
    </row>
    <row r="23" spans="1:26" x14ac:dyDescent="0.35">
      <c r="A23" t="s">
        <v>74</v>
      </c>
      <c r="B23">
        <v>54.577101078531456</v>
      </c>
      <c r="C23">
        <v>0.73516060959420904</v>
      </c>
      <c r="D23">
        <v>14.883471797996261</v>
      </c>
      <c r="E23">
        <v>7.0581672631608674</v>
      </c>
      <c r="F23">
        <v>0.13214330386504033</v>
      </c>
      <c r="G23">
        <v>10.177858834637281</v>
      </c>
      <c r="H23">
        <v>8.0388521487913422</v>
      </c>
      <c r="I23">
        <v>2.7272965699229736</v>
      </c>
      <c r="J23">
        <v>1.4776849300144854</v>
      </c>
      <c r="K23">
        <v>0.19226346348608156</v>
      </c>
      <c r="L23">
        <v>0</v>
      </c>
      <c r="M23">
        <v>0</v>
      </c>
      <c r="N23">
        <v>99.999999999999986</v>
      </c>
      <c r="O23">
        <v>246</v>
      </c>
      <c r="P23">
        <f t="shared" si="0"/>
        <v>3.1305783614512028E-2</v>
      </c>
      <c r="Q23" s="17" t="s">
        <v>75</v>
      </c>
      <c r="R23" s="18">
        <v>40.700000000000003</v>
      </c>
      <c r="S23" s="17">
        <v>5.8700000000000002E-2</v>
      </c>
      <c r="T23" s="18">
        <v>8.1999999999999993</v>
      </c>
      <c r="U23" s="17">
        <v>0.12</v>
      </c>
      <c r="V23" s="18">
        <v>51.16</v>
      </c>
      <c r="W23" s="17">
        <v>0.02</v>
      </c>
      <c r="X23" s="17">
        <v>7.0000000000000007E-2</v>
      </c>
      <c r="Y23" s="19">
        <v>0.36</v>
      </c>
      <c r="Z23" s="18">
        <v>100.0458</v>
      </c>
    </row>
    <row r="24" spans="1:26" x14ac:dyDescent="0.35">
      <c r="A24" t="s">
        <v>74</v>
      </c>
      <c r="B24">
        <v>54.577101078531456</v>
      </c>
      <c r="C24">
        <v>0.73516060959420904</v>
      </c>
      <c r="D24">
        <v>14.883471797996261</v>
      </c>
      <c r="E24">
        <v>7.0581672631608674</v>
      </c>
      <c r="F24">
        <v>0.13214330386504033</v>
      </c>
      <c r="G24">
        <v>10.177858834637281</v>
      </c>
      <c r="H24">
        <v>8.0388521487913422</v>
      </c>
      <c r="I24">
        <v>2.7272965699229736</v>
      </c>
      <c r="J24">
        <v>1.4776849300144854</v>
      </c>
      <c r="K24">
        <v>0.19226346348608156</v>
      </c>
      <c r="L24">
        <v>0</v>
      </c>
      <c r="M24">
        <v>0</v>
      </c>
      <c r="N24">
        <v>99.999999999999986</v>
      </c>
      <c r="O24">
        <v>246</v>
      </c>
      <c r="P24">
        <f t="shared" si="0"/>
        <v>3.1305783614512028E-2</v>
      </c>
      <c r="Q24" s="17" t="s">
        <v>68</v>
      </c>
      <c r="R24" s="18">
        <v>40.44</v>
      </c>
      <c r="S24" s="17">
        <v>5.8700000000000002E-2</v>
      </c>
      <c r="T24" s="18">
        <v>9.68</v>
      </c>
      <c r="U24" s="17">
        <v>0.16</v>
      </c>
      <c r="V24" s="18">
        <v>49.57</v>
      </c>
      <c r="W24" s="17">
        <v>0.14000000000000001</v>
      </c>
      <c r="X24" s="17">
        <v>7.0000000000000007E-2</v>
      </c>
      <c r="Y24" s="19">
        <v>0.36</v>
      </c>
      <c r="Z24" s="18">
        <v>100.0458</v>
      </c>
    </row>
    <row r="25" spans="1:26" x14ac:dyDescent="0.35">
      <c r="A25" t="s">
        <v>74</v>
      </c>
      <c r="B25">
        <v>54.577101078531456</v>
      </c>
      <c r="C25">
        <v>0.73516060959420904</v>
      </c>
      <c r="D25">
        <v>14.883471797996261</v>
      </c>
      <c r="E25">
        <v>7.0581672631608674</v>
      </c>
      <c r="F25">
        <v>0.13214330386504033</v>
      </c>
      <c r="G25">
        <v>10.177858834637281</v>
      </c>
      <c r="H25">
        <v>8.0388521487913422</v>
      </c>
      <c r="I25">
        <v>2.7272965699229736</v>
      </c>
      <c r="J25">
        <v>1.4776849300144854</v>
      </c>
      <c r="K25">
        <v>0.19226346348608156</v>
      </c>
      <c r="L25">
        <v>0</v>
      </c>
      <c r="M25">
        <v>0</v>
      </c>
      <c r="N25">
        <v>99.999999999999986</v>
      </c>
      <c r="O25">
        <v>246</v>
      </c>
      <c r="P25">
        <f t="shared" si="0"/>
        <v>3.1305783614512028E-2</v>
      </c>
      <c r="Q25" s="17" t="s">
        <v>76</v>
      </c>
      <c r="R25" s="18">
        <v>40.9</v>
      </c>
      <c r="S25" s="17">
        <v>5.8700000000000002E-2</v>
      </c>
      <c r="T25" s="18">
        <v>7.93</v>
      </c>
      <c r="U25" s="17">
        <v>0.12</v>
      </c>
      <c r="V25" s="18">
        <v>51.44</v>
      </c>
      <c r="W25" s="17">
        <v>0.01</v>
      </c>
      <c r="X25" s="17">
        <v>7.0000000000000007E-2</v>
      </c>
      <c r="Y25" s="19">
        <v>0.38</v>
      </c>
      <c r="Z25" s="18">
        <v>100.0458</v>
      </c>
    </row>
    <row r="26" spans="1:26" x14ac:dyDescent="0.35">
      <c r="A26" t="s">
        <v>77</v>
      </c>
      <c r="B26">
        <v>54.348233103220416</v>
      </c>
      <c r="C26">
        <v>0.74120055867879475</v>
      </c>
      <c r="D26">
        <v>14.933344012975768</v>
      </c>
      <c r="E26">
        <v>7.2063557222024768</v>
      </c>
      <c r="F26">
        <v>0.13386264311138033</v>
      </c>
      <c r="G26">
        <v>10.236737636228018</v>
      </c>
      <c r="H26">
        <v>7.9952141852350609</v>
      </c>
      <c r="I26">
        <v>2.7762731719038629</v>
      </c>
      <c r="J26">
        <v>1.4315393202741329</v>
      </c>
      <c r="K26">
        <v>0.19723964617009668</v>
      </c>
      <c r="L26">
        <v>0</v>
      </c>
      <c r="M26">
        <v>0</v>
      </c>
      <c r="N26">
        <v>99.999999999999986</v>
      </c>
      <c r="O26">
        <v>252.39999999999998</v>
      </c>
      <c r="P26">
        <f t="shared" si="0"/>
        <v>3.2120243025621283E-2</v>
      </c>
      <c r="Q26" s="17" t="s">
        <v>78</v>
      </c>
      <c r="R26" s="18">
        <v>39.5</v>
      </c>
      <c r="S26" s="17">
        <v>0.01</v>
      </c>
      <c r="T26" s="18">
        <v>10.99</v>
      </c>
      <c r="U26" s="17">
        <v>0.14000000000000001</v>
      </c>
      <c r="V26" s="18">
        <v>48.26</v>
      </c>
      <c r="W26" s="17">
        <v>0.09</v>
      </c>
      <c r="X26" s="17">
        <v>0.22</v>
      </c>
      <c r="Y26" s="19">
        <v>0.48</v>
      </c>
      <c r="Z26" s="18">
        <v>100.0458</v>
      </c>
    </row>
    <row r="27" spans="1:26" x14ac:dyDescent="0.35">
      <c r="A27" t="s">
        <v>77</v>
      </c>
      <c r="B27">
        <v>54.348233103220416</v>
      </c>
      <c r="C27">
        <v>0.74120055867879475</v>
      </c>
      <c r="D27">
        <v>14.933344012975768</v>
      </c>
      <c r="E27">
        <v>7.2063557222024768</v>
      </c>
      <c r="F27">
        <v>0.13386264311138033</v>
      </c>
      <c r="G27">
        <v>10.236737636228018</v>
      </c>
      <c r="H27">
        <v>7.9952141852350609</v>
      </c>
      <c r="I27">
        <v>2.7762731719038629</v>
      </c>
      <c r="J27">
        <v>1.4315393202741329</v>
      </c>
      <c r="K27">
        <v>0.19723964617009668</v>
      </c>
      <c r="L27">
        <v>0</v>
      </c>
      <c r="M27">
        <v>0</v>
      </c>
      <c r="N27">
        <v>99.999999999999986</v>
      </c>
      <c r="O27">
        <v>252.39999999999998</v>
      </c>
      <c r="P27">
        <f t="shared" si="0"/>
        <v>3.2120243025621283E-2</v>
      </c>
      <c r="Q27" s="17" t="s">
        <v>68</v>
      </c>
      <c r="R27" s="18">
        <v>40.380000000000003</v>
      </c>
      <c r="S27" s="17">
        <v>0</v>
      </c>
      <c r="T27" s="18">
        <v>10.38</v>
      </c>
      <c r="U27" s="17">
        <v>0.15</v>
      </c>
      <c r="V27" s="18">
        <v>49.42</v>
      </c>
      <c r="W27" s="17">
        <v>0.02</v>
      </c>
      <c r="X27" s="17">
        <v>0</v>
      </c>
      <c r="Y27" s="19">
        <v>0.36</v>
      </c>
      <c r="Z27" s="18">
        <v>100.0458</v>
      </c>
    </row>
    <row r="28" spans="1:26" x14ac:dyDescent="0.35">
      <c r="A28" t="s">
        <v>77</v>
      </c>
      <c r="B28">
        <v>54.348233103220416</v>
      </c>
      <c r="C28">
        <v>0.74120055867879475</v>
      </c>
      <c r="D28">
        <v>14.933344012975768</v>
      </c>
      <c r="E28">
        <v>7.2063557222024768</v>
      </c>
      <c r="F28">
        <v>0.13386264311138033</v>
      </c>
      <c r="G28">
        <v>10.236737636228018</v>
      </c>
      <c r="H28">
        <v>7.9952141852350609</v>
      </c>
      <c r="I28">
        <v>2.7762731719038629</v>
      </c>
      <c r="J28">
        <v>1.4315393202741329</v>
      </c>
      <c r="K28">
        <v>0.19723964617009668</v>
      </c>
      <c r="L28">
        <v>0</v>
      </c>
      <c r="M28">
        <v>0</v>
      </c>
      <c r="N28">
        <v>99.999999999999986</v>
      </c>
      <c r="O28">
        <v>252.39999999999998</v>
      </c>
      <c r="P28">
        <f t="shared" si="0"/>
        <v>3.2120243025621283E-2</v>
      </c>
      <c r="Q28" s="17" t="s">
        <v>79</v>
      </c>
      <c r="R28" s="18">
        <v>37.4</v>
      </c>
      <c r="S28" s="17">
        <v>0.01</v>
      </c>
      <c r="T28" s="18">
        <v>7</v>
      </c>
      <c r="U28" s="17">
        <v>0.11</v>
      </c>
      <c r="V28" s="18">
        <v>53.36</v>
      </c>
      <c r="W28" s="17">
        <v>0.02</v>
      </c>
      <c r="X28" s="17">
        <v>0.01</v>
      </c>
      <c r="Y28" s="19">
        <v>0.38</v>
      </c>
      <c r="Z28" s="18">
        <v>100.0458</v>
      </c>
    </row>
    <row r="29" spans="1:26" x14ac:dyDescent="0.35">
      <c r="A29" t="s">
        <v>80</v>
      </c>
      <c r="B29">
        <v>56.06103503331417</v>
      </c>
      <c r="C29">
        <v>0.98080428917691143</v>
      </c>
      <c r="D29">
        <v>15.569632041702326</v>
      </c>
      <c r="E29">
        <v>6.6067306821338345</v>
      </c>
      <c r="F29">
        <v>0.11690125382418294</v>
      </c>
      <c r="G29">
        <v>7.7580944444632829</v>
      </c>
      <c r="H29">
        <v>6.9354045989114779</v>
      </c>
      <c r="I29">
        <v>3.6342870493522414</v>
      </c>
      <c r="J29">
        <v>2.0574884680125147</v>
      </c>
      <c r="K29">
        <v>0.2796221391090411</v>
      </c>
      <c r="L29">
        <v>0</v>
      </c>
      <c r="M29">
        <v>0</v>
      </c>
      <c r="N29">
        <v>99.999999999999957</v>
      </c>
      <c r="O29">
        <v>165</v>
      </c>
      <c r="P29">
        <f t="shared" si="0"/>
        <v>2.0997781692660509E-2</v>
      </c>
      <c r="Q29" s="17" t="s">
        <v>70</v>
      </c>
      <c r="R29" s="18">
        <v>39.57</v>
      </c>
      <c r="S29" s="17">
        <v>0.03</v>
      </c>
      <c r="T29" s="18">
        <v>11.51</v>
      </c>
      <c r="U29" s="17">
        <v>0.15</v>
      </c>
      <c r="V29" s="18">
        <v>48.49</v>
      </c>
      <c r="W29" s="17">
        <v>0.14000000000000001</v>
      </c>
      <c r="X29" s="17">
        <v>0.04</v>
      </c>
      <c r="Y29" s="19">
        <v>0.28999999999999998</v>
      </c>
      <c r="Z29" s="18">
        <v>100.0458</v>
      </c>
    </row>
    <row r="30" spans="1:26" x14ac:dyDescent="0.35">
      <c r="A30" t="s">
        <v>80</v>
      </c>
      <c r="B30">
        <v>56.06103503331417</v>
      </c>
      <c r="C30">
        <v>0.98080428917691143</v>
      </c>
      <c r="D30">
        <v>15.569632041702326</v>
      </c>
      <c r="E30">
        <v>6.6067306821338345</v>
      </c>
      <c r="F30">
        <v>0.11690125382418294</v>
      </c>
      <c r="G30">
        <v>7.7580944444632829</v>
      </c>
      <c r="H30">
        <v>6.9354045989114779</v>
      </c>
      <c r="I30">
        <v>3.6342870493522414</v>
      </c>
      <c r="J30">
        <v>2.0574884680125147</v>
      </c>
      <c r="K30">
        <v>0.2796221391090411</v>
      </c>
      <c r="L30">
        <v>0</v>
      </c>
      <c r="M30">
        <v>0</v>
      </c>
      <c r="N30">
        <v>99.999999999999957</v>
      </c>
      <c r="O30">
        <v>165</v>
      </c>
      <c r="P30">
        <f t="shared" si="0"/>
        <v>2.0997781692660509E-2</v>
      </c>
      <c r="Q30" s="17" t="s">
        <v>68</v>
      </c>
      <c r="R30" s="18">
        <v>39.65</v>
      </c>
      <c r="S30" s="17">
        <v>0.01</v>
      </c>
      <c r="T30" s="18">
        <v>10.96</v>
      </c>
      <c r="U30" s="17">
        <v>0.16</v>
      </c>
      <c r="V30" s="18">
        <v>48.97</v>
      </c>
      <c r="W30" s="17">
        <v>0.15</v>
      </c>
      <c r="X30" s="17">
        <v>0.04</v>
      </c>
      <c r="Y30" s="19">
        <v>0.27</v>
      </c>
      <c r="Z30" s="18">
        <v>100.0458</v>
      </c>
    </row>
    <row r="31" spans="1:26" x14ac:dyDescent="0.35">
      <c r="A31" t="s">
        <v>80</v>
      </c>
      <c r="B31">
        <v>56.06103503331417</v>
      </c>
      <c r="C31">
        <v>0.98080428917691143</v>
      </c>
      <c r="D31">
        <v>15.569632041702326</v>
      </c>
      <c r="E31">
        <v>6.6067306821338345</v>
      </c>
      <c r="F31">
        <v>0.11690125382418294</v>
      </c>
      <c r="G31">
        <v>7.7580944444632829</v>
      </c>
      <c r="H31">
        <v>6.9354045989114779</v>
      </c>
      <c r="I31">
        <v>3.6342870493522414</v>
      </c>
      <c r="J31">
        <v>2.0574884680125147</v>
      </c>
      <c r="K31">
        <v>0.2796221391090411</v>
      </c>
      <c r="L31">
        <v>0</v>
      </c>
      <c r="M31">
        <v>0</v>
      </c>
      <c r="N31">
        <v>99.999999999999957</v>
      </c>
      <c r="O31">
        <v>165</v>
      </c>
      <c r="P31">
        <f t="shared" si="0"/>
        <v>2.0997781692660509E-2</v>
      </c>
      <c r="Q31" s="17" t="s">
        <v>65</v>
      </c>
      <c r="R31" s="18">
        <v>39.68</v>
      </c>
      <c r="S31" s="17">
        <v>0.01</v>
      </c>
      <c r="T31" s="18">
        <v>11.56</v>
      </c>
      <c r="U31" s="17">
        <v>0.13</v>
      </c>
      <c r="V31" s="18">
        <v>48.45</v>
      </c>
      <c r="W31" s="17">
        <v>0.14000000000000001</v>
      </c>
      <c r="X31" s="17">
        <v>7.0000000000000007E-2</v>
      </c>
      <c r="Y31" s="19">
        <v>0.28999999999999998</v>
      </c>
      <c r="Z31" s="18">
        <v>100.0458</v>
      </c>
    </row>
    <row r="32" spans="1:26" x14ac:dyDescent="0.35">
      <c r="A32" t="s">
        <v>81</v>
      </c>
      <c r="B32">
        <v>57.739169568186405</v>
      </c>
      <c r="C32">
        <v>0.62292538713589107</v>
      </c>
      <c r="D32">
        <v>14.477121741106336</v>
      </c>
      <c r="E32">
        <v>5.6179076897714024</v>
      </c>
      <c r="F32">
        <v>9.8003411779909594E-2</v>
      </c>
      <c r="G32">
        <v>9.8635173954035054</v>
      </c>
      <c r="H32">
        <v>6.5765657878299066</v>
      </c>
      <c r="I32">
        <v>2.7829705760919574</v>
      </c>
      <c r="J32">
        <v>2.114039400310022</v>
      </c>
      <c r="K32">
        <v>0.10777904238469567</v>
      </c>
      <c r="L32">
        <v>0</v>
      </c>
      <c r="M32">
        <v>0</v>
      </c>
      <c r="N32">
        <v>100.00000000000003</v>
      </c>
      <c r="O32">
        <v>320</v>
      </c>
      <c r="P32">
        <f t="shared" si="0"/>
        <v>4.0722970555462798E-2</v>
      </c>
      <c r="Q32" s="17" t="s">
        <v>82</v>
      </c>
      <c r="R32" s="18">
        <v>40.98</v>
      </c>
      <c r="S32" s="17">
        <v>0.05</v>
      </c>
      <c r="T32" s="18">
        <v>9.2799999999999994</v>
      </c>
      <c r="U32" s="17">
        <v>0.14000000000000001</v>
      </c>
      <c r="V32" s="18">
        <v>49.47</v>
      </c>
      <c r="W32" s="17">
        <v>0.24</v>
      </c>
      <c r="X32" s="17">
        <v>0.09</v>
      </c>
      <c r="Y32" s="19">
        <v>0.28999999999999998</v>
      </c>
      <c r="Z32" s="18">
        <v>100.0458</v>
      </c>
    </row>
    <row r="33" spans="17:26" x14ac:dyDescent="0.35">
      <c r="Q33" s="17"/>
      <c r="R33" s="18"/>
      <c r="S33" s="17"/>
      <c r="T33" s="18"/>
      <c r="U33" s="17"/>
      <c r="V33" s="18"/>
      <c r="W33" s="17"/>
      <c r="X33" s="17"/>
      <c r="Y33" s="19"/>
      <c r="Z33" s="18"/>
    </row>
    <row r="34" spans="17:26" x14ac:dyDescent="0.35">
      <c r="Q34" s="17"/>
      <c r="R34" s="18"/>
      <c r="S34" s="17"/>
      <c r="T34" s="18"/>
      <c r="U34" s="17"/>
      <c r="V34" s="18"/>
      <c r="W34" s="17"/>
      <c r="X34" s="17"/>
      <c r="Y34" s="19"/>
      <c r="Z34" s="18"/>
    </row>
    <row r="35" spans="17:26" x14ac:dyDescent="0.35">
      <c r="Q35" s="17"/>
      <c r="R35" s="18"/>
      <c r="S35" s="17"/>
      <c r="T35" s="18"/>
      <c r="U35" s="17"/>
      <c r="V35" s="18"/>
      <c r="W35" s="17"/>
      <c r="X35" s="17"/>
      <c r="Y35" s="19"/>
      <c r="Z35" s="18"/>
    </row>
    <row r="36" spans="17:26" x14ac:dyDescent="0.35">
      <c r="Q36" s="17"/>
      <c r="R36" s="18"/>
      <c r="S36" s="17"/>
      <c r="T36" s="18"/>
      <c r="U36" s="17"/>
      <c r="V36" s="18"/>
      <c r="W36" s="17"/>
      <c r="X36" s="17"/>
      <c r="Y36" s="19"/>
      <c r="Z36" s="18"/>
    </row>
    <row r="37" spans="17:26" x14ac:dyDescent="0.35">
      <c r="Q37" s="17"/>
      <c r="R37" s="18"/>
      <c r="S37" s="17"/>
      <c r="T37" s="18"/>
      <c r="U37" s="17"/>
      <c r="V37" s="18"/>
      <c r="W37" s="17"/>
      <c r="X37" s="17"/>
      <c r="Y37" s="19"/>
      <c r="Z37" s="18"/>
    </row>
    <row r="38" spans="17:26" x14ac:dyDescent="0.35">
      <c r="Q38" s="17"/>
      <c r="R38" s="18"/>
      <c r="S38" s="17"/>
      <c r="T38" s="18"/>
      <c r="U38" s="17"/>
      <c r="V38" s="18"/>
      <c r="W38" s="17"/>
      <c r="X38" s="17"/>
      <c r="Y38" s="19"/>
      <c r="Z38" s="18"/>
    </row>
    <row r="39" spans="17:26" x14ac:dyDescent="0.35">
      <c r="Q39" s="17"/>
      <c r="R39" s="18"/>
      <c r="S39" s="17"/>
      <c r="T39" s="18"/>
      <c r="U39" s="17"/>
      <c r="V39" s="18"/>
      <c r="W39" s="17"/>
      <c r="X39" s="17"/>
      <c r="Y39" s="19"/>
      <c r="Z39" s="18"/>
    </row>
    <row r="40" spans="17:26" x14ac:dyDescent="0.35">
      <c r="Q40" s="17"/>
      <c r="R40" s="18"/>
      <c r="S40" s="17"/>
      <c r="T40" s="18"/>
      <c r="U40" s="17"/>
      <c r="V40" s="18"/>
      <c r="W40" s="17"/>
      <c r="X40" s="17"/>
      <c r="Y40" s="19"/>
      <c r="Z40" s="18"/>
    </row>
    <row r="41" spans="17:26" x14ac:dyDescent="0.35">
      <c r="Q41" s="17"/>
      <c r="R41" s="18"/>
      <c r="S41" s="17"/>
      <c r="T41" s="18"/>
      <c r="U41" s="17"/>
      <c r="V41" s="18"/>
      <c r="W41" s="17"/>
      <c r="X41" s="17"/>
      <c r="Y41" s="19"/>
      <c r="Z41" s="18"/>
    </row>
    <row r="42" spans="17:26" x14ac:dyDescent="0.35">
      <c r="Q42" s="17"/>
      <c r="R42" s="18"/>
      <c r="S42" s="17"/>
      <c r="T42" s="18"/>
      <c r="U42" s="17"/>
      <c r="V42" s="18"/>
      <c r="W42" s="17"/>
      <c r="X42" s="17"/>
      <c r="Y42" s="19"/>
      <c r="Z42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Liquid_only</vt:lpstr>
      <vt:lpstr>Ol-Liq</vt:lpstr>
      <vt:lpstr>Liq_Ol_withNi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Petrelli</dc:creator>
  <cp:lastModifiedBy>Penny Wieser</cp:lastModifiedBy>
  <dcterms:created xsi:type="dcterms:W3CDTF">2020-04-11T11:13:41Z</dcterms:created>
  <dcterms:modified xsi:type="dcterms:W3CDTF">2026-10-13T16:48:21Z</dcterms:modified>
</cp:coreProperties>
</file>